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ER_CONTROL_ROOM" sheetId="1" state="visible" r:id="rId1"/>
    <sheet xmlns:r="http://schemas.openxmlformats.org/officeDocument/2006/relationships" name="DAILY_WAR_ROOM" sheetId="2" state="visible" r:id="rId2"/>
    <sheet xmlns:r="http://schemas.openxmlformats.org/officeDocument/2006/relationships" name="WEEKLY_REVENUE_TRACKER" sheetId="3" state="visible" r:id="rId3"/>
    <sheet xmlns:r="http://schemas.openxmlformats.org/officeDocument/2006/relationships" name="PLACEMENT_PIPELINE" sheetId="4" state="visible" r:id="rId4"/>
    <sheet xmlns:r="http://schemas.openxmlformats.org/officeDocument/2006/relationships" name="CLIENT_MASTER" sheetId="5" state="visible" r:id="rId5"/>
    <sheet xmlns:r="http://schemas.openxmlformats.org/officeDocument/2006/relationships" name="DATABASE_VALUE" sheetId="6" state="visible" r:id="rId6"/>
    <sheet xmlns:r="http://schemas.openxmlformats.org/officeDocument/2006/relationships" name="CALL_SCRIPTS" sheetId="7" state="visible" r:id="rId7"/>
    <sheet xmlns:r="http://schemas.openxmlformats.org/officeDocument/2006/relationships" name="30DAY_EXECUTION_PLAN" sheetId="8" state="visible" r:id="rId8"/>
    <sheet xmlns:r="http://schemas.openxmlformats.org/officeDocument/2006/relationships" name="AI_OUTREACH_TRACKER" sheetId="9" state="visible" r:id="rId9"/>
    <sheet xmlns:r="http://schemas.openxmlformats.org/officeDocument/2006/relationships" name="CANDIDATE_POOL" sheetId="10" state="visible" r:id="rId10"/>
    <sheet xmlns:r="http://schemas.openxmlformats.org/officeDocument/2006/relationships" name="REVENUE_FORECAST" sheetId="11" state="visible" r:id="rId11"/>
    <sheet xmlns:r="http://schemas.openxmlformats.org/officeDocument/2006/relationships" name="EXECUTION_PARTNERS" sheetId="12" state="visible" r:id="rId12"/>
    <sheet xmlns:r="http://schemas.openxmlformats.org/officeDocument/2006/relationships" name="HIRING_VELOCITY" sheetId="13" state="visible" r:id="rId13"/>
    <sheet xmlns:r="http://schemas.openxmlformats.org/officeDocument/2006/relationships" name="LEAD_SOURCE" sheetId="14" state="visible" r:id="rId14"/>
  </sheets>
  <definedNames>
    <definedName name="_xlnm._FilterDatabase" localSheetId="4" hidden="1">'CLIENT_MASTER'!$A$2:$Q$2</definedName>
    <definedName name="_xlnm._FilterDatabase" localSheetId="8" hidden="1">'AI_OUTREACH_TRACKER'!$A$2:$L$12</definedName>
    <definedName name="_xlnm._FilterDatabase" localSheetId="9" hidden="1">'CANDIDATE_POOL'!$A$2:$L$17</definedName>
    <definedName name="_xlnm._FilterDatabase" localSheetId="10" hidden="1">'REVENUE_FORECAST'!$A$2:$J$17</definedName>
    <definedName name="_xlnm._FilterDatabase" localSheetId="11" hidden="1">'EXECUTION_PARTNERS'!$A$2:$I$8</definedName>
    <definedName name="_xlnm._FilterDatabase" localSheetId="12" hidden="1">'HIRING_VELOCITY'!$A$3:$K$13</definedName>
    <definedName name="_xlnm._FilterDatabase" localSheetId="13" hidden="1">'LEAD_SOURCE'!$A$3:$J$18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0&quot;%&quot;"/>
  </numFmts>
  <fonts count="44">
    <font>
      <name val="Calibri"/>
      <family val="2"/>
      <color theme="1"/>
      <sz val="11"/>
      <scheme val="minor"/>
    </font>
    <font>
      <name val="Arial"/>
      <b val="1"/>
      <color rgb="00FFD700"/>
      <sz val="15"/>
    </font>
    <font>
      <name val="Arial"/>
      <b val="1"/>
      <color rgb="00FFD700"/>
      <sz val="10"/>
    </font>
    <font>
      <name val="Arial"/>
      <b val="1"/>
      <color rgb="001B5E20"/>
      <sz val="8"/>
    </font>
    <font>
      <name val="Arial"/>
      <b val="1"/>
      <color rgb="001B5E20"/>
      <sz val="14"/>
    </font>
    <font>
      <name val="Arial"/>
      <b val="1"/>
      <color rgb="004A148C"/>
      <sz val="8"/>
    </font>
    <font>
      <name val="Arial"/>
      <b val="1"/>
      <color rgb="004A148C"/>
      <sz val="14"/>
    </font>
    <font>
      <name val="Arial"/>
      <b val="1"/>
      <color rgb="000D47A1"/>
      <sz val="8"/>
    </font>
    <font>
      <name val="Arial"/>
      <b val="1"/>
      <color rgb="000D47A1"/>
      <sz val="14"/>
    </font>
    <font>
      <name val="Arial"/>
      <b val="1"/>
      <color rgb="00B71C1C"/>
      <sz val="8"/>
    </font>
    <font>
      <name val="Arial"/>
      <b val="1"/>
      <color rgb="00B71C1C"/>
      <sz val="14"/>
    </font>
    <font>
      <name val="Arial"/>
      <b val="1"/>
      <color rgb="00FFD700"/>
      <sz val="9"/>
    </font>
    <font>
      <name val="Arial"/>
      <color rgb="00222222"/>
      <sz val="9"/>
    </font>
    <font>
      <name val="Arial"/>
      <b val="1"/>
      <color rgb="00B71C1C"/>
      <sz val="9"/>
    </font>
    <font>
      <name val="Arial"/>
      <b val="1"/>
      <color rgb="00222222"/>
      <sz val="9"/>
    </font>
    <font>
      <name val="Arial"/>
      <b val="1"/>
      <color rgb="00FFD700"/>
      <sz val="14"/>
    </font>
    <font>
      <name val="Arial"/>
      <b val="1"/>
      <color rgb="001B5E20"/>
      <sz val="9"/>
    </font>
    <font>
      <name val="Arial"/>
      <b val="1"/>
      <color rgb="00FFFFFF"/>
      <sz val="9"/>
    </font>
    <font>
      <name val="Arial"/>
      <b val="1"/>
      <color rgb="004A148C"/>
      <sz val="9"/>
    </font>
    <font>
      <name val="Arial"/>
      <color rgb="001B5E20"/>
      <sz val="9"/>
    </font>
    <font>
      <name val="Arial"/>
      <b val="1"/>
      <color rgb="00FFD700"/>
      <sz val="13"/>
    </font>
    <font>
      <name val="Arial"/>
      <b val="1"/>
      <color rgb="001A1A2E"/>
      <sz val="9"/>
    </font>
    <font>
      <name val="Arial"/>
      <b val="1"/>
      <color rgb="00FFFFFF"/>
      <sz val="11"/>
    </font>
    <font>
      <name val="Arial"/>
      <b val="1"/>
      <color rgb="001A1A2E"/>
      <sz val="8"/>
    </font>
    <font>
      <name val="Arial"/>
      <color rgb="001A1A2E"/>
      <sz val="10"/>
    </font>
    <font>
      <name val="Arial"/>
      <color rgb="00222222"/>
      <sz val="10"/>
    </font>
    <font>
      <name val="Arial"/>
      <b val="1"/>
      <color rgb="00B71C1C"/>
      <sz val="10"/>
    </font>
    <font>
      <name val="Arial"/>
      <b val="1"/>
      <color rgb="001B5E20"/>
      <sz val="10"/>
    </font>
    <font>
      <name val="Arial"/>
      <b val="1"/>
      <color rgb="00FFFFFF"/>
      <sz val="12"/>
    </font>
    <font>
      <name val="Arial"/>
      <b val="1"/>
      <color rgb="00E65100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0D47A1"/>
      <sz val="9"/>
    </font>
    <font>
      <name val="Arial"/>
      <b val="1"/>
      <color rgb="00FFD700"/>
      <sz val="8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color rgb="000D47A1"/>
      <sz val="9"/>
    </font>
    <font>
      <name val="Arial"/>
      <b val="1"/>
      <color rgb="000D47A1"/>
      <sz val="12"/>
    </font>
    <font>
      <name val="Arial"/>
      <i val="1"/>
      <color rgb="00555555"/>
      <sz val="9"/>
    </font>
    <font>
      <name val="Arial"/>
      <b val="1"/>
      <color rgb="001B5E20"/>
      <sz val="12"/>
    </font>
    <font>
      <name val="Arial"/>
      <b val="1"/>
      <color rgb="00B71C1C"/>
      <sz val="12"/>
    </font>
    <font>
      <name val="Arial"/>
      <b val="1"/>
      <color rgb="004A148C"/>
      <sz val="12"/>
    </font>
    <font>
      <name val="Arial"/>
      <b val="1"/>
      <color rgb="00E65100"/>
      <sz val="12"/>
    </font>
    <font>
      <name val="Arial"/>
      <b val="1"/>
      <color rgb="00E65100"/>
      <sz val="8"/>
    </font>
  </fonts>
  <fills count="3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BBDEFB"/>
      </patternFill>
    </fill>
    <fill>
      <patternFill patternType="solid">
        <fgColor rgb="00FFCDD2"/>
      </patternFill>
    </fill>
    <fill>
      <patternFill patternType="solid">
        <fgColor rgb="00D6EAF8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FF8E1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A5D6A7"/>
      </patternFill>
    </fill>
    <fill>
      <patternFill patternType="solid">
        <fgColor rgb="00FEF9E7"/>
      </patternFill>
    </fill>
    <fill>
      <patternFill patternType="solid">
        <fgColor rgb="00533483"/>
      </patternFill>
    </fill>
    <fill>
      <patternFill patternType="solid">
        <fgColor rgb="00EBF5FB"/>
      </patternFill>
    </fill>
    <fill>
      <patternFill patternType="solid">
        <fgColor rgb="00FCE4EC"/>
      </patternFill>
    </fill>
    <fill>
      <patternFill patternType="solid">
        <fgColor rgb="00B71C1C"/>
      </patternFill>
    </fill>
    <fill>
      <patternFill patternType="solid">
        <fgColor rgb="00F1F8E9"/>
      </patternFill>
    </fill>
    <fill>
      <patternFill patternType="solid">
        <fgColor rgb="00FFE0B2"/>
      </patternFill>
    </fill>
    <fill>
      <patternFill patternType="solid">
        <fgColor rgb="00F9EBEA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D5F5E3"/>
      </patternFill>
    </fill>
    <fill>
      <patternFill patternType="solid">
        <fgColor rgb="00FFCCBC"/>
      </patternFill>
    </fill>
    <fill>
      <patternFill patternType="solid">
        <fgColor rgb="0066BB6A"/>
      </patternFill>
    </fill>
    <fill>
      <patternFill patternType="solid">
        <fgColor rgb="00F9FAFB"/>
      </patternFill>
    </fill>
    <fill>
      <patternFill patternType="solid">
        <fgColor rgb="00F8F9FA"/>
      </patternFill>
    </fill>
    <fill>
      <patternFill patternType="solid">
        <fgColor rgb="000F3460"/>
      </patternFill>
    </fill>
    <fill>
      <patternFill patternType="solid">
        <fgColor rgb="001B5E20"/>
      </patternFill>
    </fill>
    <fill>
      <patternFill patternType="solid">
        <fgColor rgb="00E3F2FD"/>
      </patternFill>
    </fill>
    <fill>
      <patternFill patternType="solid">
        <fgColor rgb="004A148C"/>
      </patternFill>
    </fill>
    <fill>
      <patternFill patternType="solid">
        <fgColor rgb="00F3E5F5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/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</borders>
  <cellStyleXfs count="1">
    <xf numFmtId="0" fontId="0" fillId="0" borderId="0"/>
  </cellStyleXfs>
  <cellXfs count="3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164" fontId="8" fillId="8" borderId="2" applyAlignment="1" pivotButton="0" quotePrefix="0" xfId="0">
      <alignment horizontal="center" vertical="center"/>
    </xf>
    <xf numFmtId="1" fontId="4" fillId="9" borderId="2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164" fontId="12" fillId="12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164" fontId="14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164" fontId="13" fillId="7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164" fontId="13" fillId="13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164" fontId="14" fillId="7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164" fontId="16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164" fontId="16" fillId="4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left" vertical="center"/>
    </xf>
    <xf numFmtId="0" fontId="14" fillId="1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/>
    </xf>
    <xf numFmtId="0" fontId="12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165" fontId="18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left" vertical="center"/>
    </xf>
    <xf numFmtId="0" fontId="12" fillId="19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165" fontId="18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165" fontId="18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/>
    </xf>
    <xf numFmtId="0" fontId="14" fillId="15" borderId="1" applyAlignment="1" pivotButton="0" quotePrefix="0" xfId="0">
      <alignment horizontal="center" vertical="center"/>
    </xf>
    <xf numFmtId="165" fontId="18" fillId="15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165" fontId="12" fillId="12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17" fillId="20" borderId="0" applyAlignment="1" pivotButton="0" quotePrefix="0" xfId="0">
      <alignment horizontal="center" vertical="center"/>
    </xf>
    <xf numFmtId="164" fontId="12" fillId="13" borderId="1" applyAlignment="1" pivotButton="0" quotePrefix="0" xfId="0">
      <alignment horizontal="center" vertical="center"/>
    </xf>
    <xf numFmtId="166" fontId="21" fillId="13" borderId="1" applyAlignment="1" pivotButton="0" quotePrefix="0" xfId="0">
      <alignment horizontal="center" vertical="center"/>
    </xf>
    <xf numFmtId="164" fontId="16" fillId="21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left" vertical="center"/>
    </xf>
    <xf numFmtId="164" fontId="12" fillId="22" borderId="1" applyAlignment="1" pivotButton="0" quotePrefix="0" xfId="0">
      <alignment horizontal="center" vertical="center"/>
    </xf>
    <xf numFmtId="166" fontId="21" fillId="22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center" vertical="center"/>
    </xf>
    <xf numFmtId="166" fontId="21" fillId="9" borderId="1" applyAlignment="1" pivotButton="0" quotePrefix="0" xfId="0">
      <alignment horizontal="center" vertical="center"/>
    </xf>
    <xf numFmtId="166" fontId="21" fillId="14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6" fontId="21" fillId="6" borderId="1" applyAlignment="1" pivotButton="0" quotePrefix="0" xfId="0">
      <alignment horizontal="center" vertical="center"/>
    </xf>
    <xf numFmtId="166" fontId="21" fillId="7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/>
    </xf>
    <xf numFmtId="0" fontId="23" fillId="5" borderId="1" applyAlignment="1" pivotButton="0" quotePrefix="0" xfId="0">
      <alignment horizontal="center"/>
    </xf>
    <xf numFmtId="0" fontId="22" fillId="2" borderId="0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left" vertical="center"/>
    </xf>
    <xf numFmtId="164" fontId="12" fillId="23" borderId="1" applyAlignment="1" pivotButton="0" quotePrefix="0" xfId="0">
      <alignment horizontal="center" vertical="center"/>
    </xf>
    <xf numFmtId="164" fontId="16" fillId="23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164" fontId="14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164" fontId="12" fillId="18" borderId="1" applyAlignment="1" pivotButton="0" quotePrefix="0" xfId="0">
      <alignment horizontal="center" vertical="center"/>
    </xf>
    <xf numFmtId="164" fontId="14" fillId="1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left" vertical="center"/>
    </xf>
    <xf numFmtId="0" fontId="12" fillId="24" borderId="1" applyAlignment="1" pivotButton="0" quotePrefix="0" xfId="0">
      <alignment horizontal="center" vertical="center"/>
    </xf>
    <xf numFmtId="164" fontId="12" fillId="24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left" vertical="center"/>
    </xf>
    <xf numFmtId="0" fontId="12" fillId="25" borderId="1" applyAlignment="1" pivotButton="0" quotePrefix="0" xfId="0">
      <alignment horizontal="center" vertical="center"/>
    </xf>
    <xf numFmtId="164" fontId="12" fillId="25" borderId="1" applyAlignment="1" pivotButton="0" quotePrefix="0" xfId="0">
      <alignment horizontal="center" vertical="center"/>
    </xf>
    <xf numFmtId="164" fontId="12" fillId="16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left" vertical="center"/>
    </xf>
    <xf numFmtId="0" fontId="12" fillId="26" borderId="1" applyAlignment="1" pivotButton="0" quotePrefix="0" xfId="0">
      <alignment horizontal="center" vertical="center"/>
    </xf>
    <xf numFmtId="164" fontId="12" fillId="26" borderId="1" applyAlignment="1" pivotButton="0" quotePrefix="0" xfId="0">
      <alignment horizontal="center" vertical="center"/>
    </xf>
    <xf numFmtId="164" fontId="12" fillId="19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164" fontId="16" fillId="7" borderId="1" applyAlignment="1" pivotButton="0" quotePrefix="0" xfId="0">
      <alignment horizontal="center" vertical="center"/>
    </xf>
    <xf numFmtId="0" fontId="12" fillId="27" borderId="1" applyAlignment="1" pivotButton="0" quotePrefix="0" xfId="0">
      <alignment horizontal="center" vertical="center"/>
    </xf>
    <xf numFmtId="164" fontId="16" fillId="27" borderId="1" applyAlignment="1" pivotButton="0" quotePrefix="0" xfId="0">
      <alignment horizontal="center" vertical="center"/>
    </xf>
    <xf numFmtId="164" fontId="16" fillId="13" borderId="1" applyAlignment="1" pivotButton="0" quotePrefix="0" xfId="0">
      <alignment horizontal="center" vertical="center"/>
    </xf>
    <xf numFmtId="164" fontId="16" fillId="9" borderId="1" applyAlignment="1" pivotButton="0" quotePrefix="0" xfId="0">
      <alignment horizontal="center" vertical="center"/>
    </xf>
    <xf numFmtId="164" fontId="16" fillId="15" borderId="1" applyAlignment="1" pivotButton="0" quotePrefix="0" xfId="0">
      <alignment horizontal="center" vertical="center"/>
    </xf>
    <xf numFmtId="0" fontId="12" fillId="28" borderId="1" applyAlignment="1" pivotButton="0" quotePrefix="0" xfId="0">
      <alignment horizontal="center" vertical="center"/>
    </xf>
    <xf numFmtId="164" fontId="16" fillId="28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left" vertical="center"/>
    </xf>
    <xf numFmtId="0" fontId="16" fillId="2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4" fillId="10" borderId="1" applyAlignment="1" pivotButton="0" quotePrefix="0" xfId="0">
      <alignment horizontal="left" vertical="top" wrapText="1"/>
    </xf>
    <xf numFmtId="0" fontId="24" fillId="30" borderId="1" applyAlignment="1" pivotButton="0" quotePrefix="0" xfId="0">
      <alignment horizontal="left" vertical="top" wrapText="1"/>
    </xf>
    <xf numFmtId="0" fontId="24" fillId="30" borderId="3" applyAlignment="1" pivotButton="0" quotePrefix="0" xfId="0">
      <alignment horizontal="left" vertical="top" wrapText="1"/>
    </xf>
    <xf numFmtId="0" fontId="24" fillId="10" borderId="3" applyAlignment="1" pivotButton="0" quotePrefix="0" xfId="0">
      <alignment horizontal="left" vertical="top" wrapText="1"/>
    </xf>
    <xf numFmtId="0" fontId="25" fillId="7" borderId="1" applyAlignment="1" pivotButton="0" quotePrefix="0" xfId="0">
      <alignment horizontal="left" vertical="top" wrapText="1"/>
    </xf>
    <xf numFmtId="164" fontId="25" fillId="7" borderId="1" applyAlignment="1" pivotButton="0" quotePrefix="0" xfId="0">
      <alignment horizontal="center" vertical="top" wrapText="1"/>
    </xf>
    <xf numFmtId="164" fontId="26" fillId="7" borderId="1" applyAlignment="1" pivotButton="0" quotePrefix="0" xfId="0">
      <alignment horizontal="center" vertical="top" wrapText="1"/>
    </xf>
    <xf numFmtId="0" fontId="25" fillId="13" borderId="1" applyAlignment="1" pivotButton="0" quotePrefix="0" xfId="0">
      <alignment horizontal="left" vertical="top" wrapText="1"/>
    </xf>
    <xf numFmtId="164" fontId="27" fillId="13" borderId="1" applyAlignment="1" pivotButton="0" quotePrefix="0" xfId="0">
      <alignment horizontal="center" vertical="top" wrapText="1"/>
    </xf>
    <xf numFmtId="164" fontId="26" fillId="13" borderId="1" applyAlignment="1" pivotButton="0" quotePrefix="0" xfId="0">
      <alignment horizontal="center" vertical="top" wrapText="1"/>
    </xf>
    <xf numFmtId="0" fontId="25" fillId="8" borderId="1" applyAlignment="1" pivotButton="0" quotePrefix="0" xfId="0">
      <alignment horizontal="left" vertical="top" wrapText="1"/>
    </xf>
    <xf numFmtId="164" fontId="25" fillId="8" borderId="1" applyAlignment="1" pivotButton="0" quotePrefix="0" xfId="0">
      <alignment horizontal="center" vertical="top" wrapText="1"/>
    </xf>
    <xf numFmtId="164" fontId="26" fillId="8" borderId="1" applyAlignment="1" pivotButton="0" quotePrefix="0" xfId="0">
      <alignment horizontal="center" vertical="top" wrapText="1"/>
    </xf>
    <xf numFmtId="0" fontId="25" fillId="9" borderId="1" applyAlignment="1" pivotButton="0" quotePrefix="0" xfId="0">
      <alignment horizontal="left" vertical="top" wrapText="1"/>
    </xf>
    <xf numFmtId="164" fontId="27" fillId="9" borderId="1" applyAlignment="1" pivotButton="0" quotePrefix="0" xfId="0">
      <alignment horizontal="center" vertical="top" wrapText="1"/>
    </xf>
    <xf numFmtId="164" fontId="26" fillId="9" borderId="1" applyAlignment="1" pivotButton="0" quotePrefix="0" xfId="0">
      <alignment horizontal="center" vertical="top" wrapText="1"/>
    </xf>
    <xf numFmtId="0" fontId="25" fillId="26" borderId="1" applyAlignment="1" pivotButton="0" quotePrefix="0" xfId="0">
      <alignment horizontal="left" vertical="top" wrapText="1"/>
    </xf>
    <xf numFmtId="164" fontId="27" fillId="26" borderId="1" applyAlignment="1" pivotButton="0" quotePrefix="0" xfId="0">
      <alignment horizontal="center" vertical="top" wrapText="1"/>
    </xf>
    <xf numFmtId="164" fontId="26" fillId="26" borderId="1" applyAlignment="1" pivotButton="0" quotePrefix="0" xfId="0">
      <alignment horizontal="center" vertical="top" wrapText="1"/>
    </xf>
    <xf numFmtId="0" fontId="25" fillId="18" borderId="1" applyAlignment="1" pivotButton="0" quotePrefix="0" xfId="0">
      <alignment horizontal="left" vertical="top" wrapText="1"/>
    </xf>
    <xf numFmtId="164" fontId="27" fillId="18" borderId="1" applyAlignment="1" pivotButton="0" quotePrefix="0" xfId="0">
      <alignment horizontal="center" vertical="top" wrapText="1"/>
    </xf>
    <xf numFmtId="164" fontId="26" fillId="18" borderId="1" applyAlignment="1" pivotButton="0" quotePrefix="0" xfId="0">
      <alignment horizontal="center" vertical="top" wrapText="1"/>
    </xf>
    <xf numFmtId="0" fontId="25" fillId="15" borderId="1" applyAlignment="1" pivotButton="0" quotePrefix="0" xfId="0">
      <alignment horizontal="left" vertical="top" wrapText="1"/>
    </xf>
    <xf numFmtId="164" fontId="27" fillId="15" borderId="1" applyAlignment="1" pivotButton="0" quotePrefix="0" xfId="0">
      <alignment horizontal="center" vertical="top" wrapText="1"/>
    </xf>
    <xf numFmtId="164" fontId="26" fillId="15" borderId="1" applyAlignment="1" pivotButton="0" quotePrefix="0" xfId="0">
      <alignment horizontal="center" vertical="top" wrapText="1"/>
    </xf>
    <xf numFmtId="0" fontId="28" fillId="2" borderId="0" applyAlignment="1" pivotButton="0" quotePrefix="0" xfId="0">
      <alignment horizontal="right" vertical="center"/>
    </xf>
    <xf numFmtId="164" fontId="4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7" fillId="2" borderId="0" applyAlignment="1" pivotButton="0" quotePrefix="0" xfId="0">
      <alignment horizontal="center" vertical="center"/>
    </xf>
    <xf numFmtId="0" fontId="34" fillId="20" borderId="1" applyAlignment="1" pivotButton="0" quotePrefix="0" xfId="0">
      <alignment horizontal="left" vertical="center"/>
    </xf>
    <xf numFmtId="0" fontId="33" fillId="2" borderId="1" applyAlignment="1" pivotButton="0" quotePrefix="0" xfId="0">
      <alignment horizontal="left" vertical="center"/>
    </xf>
    <xf numFmtId="0" fontId="33" fillId="31" borderId="1" applyAlignment="1" pivotButton="0" quotePrefix="0" xfId="0">
      <alignment horizontal="left" vertical="center"/>
    </xf>
    <xf numFmtId="0" fontId="34" fillId="32" borderId="1" applyAlignment="1" pivotButton="0" quotePrefix="0" xfId="0">
      <alignment horizontal="left" vertical="center"/>
    </xf>
    <xf numFmtId="0" fontId="34" fillId="17" borderId="1" applyAlignment="1" pivotButton="0" quotePrefix="0" xfId="0">
      <alignment horizontal="left" vertical="center"/>
    </xf>
    <xf numFmtId="0" fontId="17" fillId="34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17" fillId="32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164" fontId="18" fillId="5" borderId="8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2" fillId="3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left" vertical="center"/>
    </xf>
    <xf numFmtId="0" fontId="30" fillId="22" borderId="1" applyAlignment="1" pivotButton="0" quotePrefix="0" xfId="0">
      <alignment horizontal="center" vertical="center"/>
    </xf>
    <xf numFmtId="0" fontId="31" fillId="9" borderId="1" applyAlignment="1" pivotButton="0" quotePrefix="0" xfId="0">
      <alignment horizontal="center" vertical="center"/>
    </xf>
    <xf numFmtId="0" fontId="30" fillId="22" borderId="1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0" fontId="30" fillId="9" borderId="1" applyAlignment="1" pivotButton="0" quotePrefix="0" xfId="0">
      <alignment horizontal="center" vertical="center"/>
    </xf>
    <xf numFmtId="0" fontId="31" fillId="22" borderId="1" applyAlignment="1" pivotButton="0" quotePrefix="0" xfId="0">
      <alignment horizontal="center" vertical="center"/>
    </xf>
    <xf numFmtId="0" fontId="30" fillId="9" borderId="1" applyAlignment="1" pivotButton="0" quotePrefix="0" xfId="0">
      <alignment horizontal="left" vertical="center"/>
    </xf>
    <xf numFmtId="0" fontId="30" fillId="14" borderId="1" applyAlignment="1" pivotButton="0" quotePrefix="0" xfId="0">
      <alignment horizontal="center" vertical="center"/>
    </xf>
    <xf numFmtId="0" fontId="30" fillId="14" borderId="1" applyAlignment="1" pivotButton="0" quotePrefix="0" xfId="0">
      <alignment horizontal="left" vertical="center"/>
    </xf>
    <xf numFmtId="0" fontId="31" fillId="5" borderId="1" applyAlignment="1" pivotButton="0" quotePrefix="0" xfId="0">
      <alignment horizontal="center" vertical="center"/>
    </xf>
    <xf numFmtId="0" fontId="18" fillId="33" borderId="1" applyAlignment="1" pivotButton="0" quotePrefix="0" xfId="0">
      <alignment horizontal="center" vertical="center"/>
    </xf>
    <xf numFmtId="0" fontId="31" fillId="19" borderId="1" applyAlignment="1" pivotButton="0" quotePrefix="0" xfId="0">
      <alignment horizontal="center" vertical="center"/>
    </xf>
    <xf numFmtId="0" fontId="31" fillId="13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/>
    </xf>
    <xf numFmtId="0" fontId="30" fillId="11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6" fillId="5" borderId="8" applyAlignment="1" pivotButton="0" quotePrefix="0" xfId="0">
      <alignment horizontal="center" vertical="center"/>
    </xf>
    <xf numFmtId="164" fontId="4" fillId="4" borderId="8" applyAlignment="1" pivotButton="0" quotePrefix="0" xfId="0">
      <alignment horizontal="center" vertical="center"/>
    </xf>
    <xf numFmtId="0" fontId="35" fillId="31" borderId="1" applyAlignment="1" pivotButton="0" quotePrefix="0" xfId="0">
      <alignment horizontal="left" vertical="center"/>
    </xf>
    <xf numFmtId="0" fontId="36" fillId="33" borderId="1" applyAlignment="1" pivotButton="0" quotePrefix="0" xfId="0">
      <alignment horizontal="left" vertical="center"/>
    </xf>
    <xf numFmtId="164" fontId="37" fillId="33" borderId="8" applyAlignment="1" pivotButton="0" quotePrefix="0" xfId="0">
      <alignment horizontal="center" vertical="center"/>
    </xf>
    <xf numFmtId="0" fontId="38" fillId="11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1" fontId="39" fillId="4" borderId="8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/>
    </xf>
    <xf numFmtId="164" fontId="39" fillId="9" borderId="8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164" fontId="40" fillId="7" borderId="8" applyAlignment="1" pivotButton="0" quotePrefix="0" xfId="0">
      <alignment horizontal="center" vertical="center"/>
    </xf>
    <xf numFmtId="164" fontId="39" fillId="4" borderId="8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/>
    </xf>
    <xf numFmtId="165" fontId="41" fillId="5" borderId="8" applyAlignment="1" pivotButton="0" quotePrefix="0" xfId="0">
      <alignment horizontal="center" vertical="center"/>
    </xf>
    <xf numFmtId="0" fontId="29" fillId="24" borderId="1" applyAlignment="1" pivotButton="0" quotePrefix="0" xfId="0">
      <alignment horizontal="left" vertical="center"/>
    </xf>
    <xf numFmtId="164" fontId="42" fillId="24" borderId="8" applyAlignment="1" pivotButton="0" quotePrefix="0" xfId="0">
      <alignment horizontal="center" vertical="center"/>
    </xf>
    <xf numFmtId="0" fontId="30" fillId="10" borderId="1" applyAlignment="1" pivotButton="0" quotePrefix="0" xfId="0">
      <alignment horizontal="left" vertical="center"/>
    </xf>
    <xf numFmtId="0" fontId="30" fillId="10" borderId="1" applyAlignment="1" pivotButton="0" quotePrefix="0" xfId="0">
      <alignment horizontal="center" vertical="center"/>
    </xf>
    <xf numFmtId="0" fontId="30" fillId="9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30" fillId="11" borderId="1" applyAlignment="1" pivotButton="0" quotePrefix="0" xfId="0">
      <alignment horizontal="left" vertical="center"/>
    </xf>
    <xf numFmtId="0" fontId="30" fillId="11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0" fillId="14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31" fillId="14" borderId="1" applyAlignment="1" pivotButton="0" quotePrefix="0" xfId="0">
      <alignment horizontal="center" vertical="center"/>
    </xf>
    <xf numFmtId="0" fontId="30" fillId="22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/>
    </xf>
    <xf numFmtId="0" fontId="31" fillId="22" borderId="1" applyAlignment="1" pivotButton="0" quotePrefix="0" xfId="0">
      <alignment horizontal="center" vertical="center"/>
    </xf>
    <xf numFmtId="1" fontId="37" fillId="33" borderId="8" applyAlignment="1" pivotButton="0" quotePrefix="0" xfId="0">
      <alignment horizontal="center" vertical="center"/>
    </xf>
    <xf numFmtId="1" fontId="39" fillId="9" borderId="8" applyAlignment="1" pivotButton="0" quotePrefix="0" xfId="0">
      <alignment horizontal="center" vertical="center"/>
    </xf>
    <xf numFmtId="1" fontId="41" fillId="5" borderId="8" applyAlignment="1" pivotButton="0" quotePrefix="0" xfId="0">
      <alignment horizontal="center" vertical="center"/>
    </xf>
    <xf numFmtId="0" fontId="36" fillId="6" borderId="1" applyAlignment="1" pivotButton="0" quotePrefix="0" xfId="0">
      <alignment horizontal="left" vertical="center"/>
    </xf>
    <xf numFmtId="1" fontId="37" fillId="6" borderId="8" applyAlignment="1" pivotButton="0" quotePrefix="0" xfId="0">
      <alignment horizontal="center" vertical="center"/>
    </xf>
    <xf numFmtId="1" fontId="42" fillId="24" borderId="8" applyAlignment="1" pivotButton="0" quotePrefix="0" xfId="0">
      <alignment horizontal="center" vertical="center"/>
    </xf>
    <xf numFmtId="165" fontId="42" fillId="24" borderId="8" applyAlignment="1" pivotButton="0" quotePrefix="0" xfId="0">
      <alignment horizontal="center" vertical="center"/>
    </xf>
    <xf numFmtId="165" fontId="39" fillId="9" borderId="8" applyAlignment="1" pivotButton="0" quotePrefix="0" xfId="0">
      <alignment horizontal="center" vertical="center"/>
    </xf>
    <xf numFmtId="0" fontId="30" fillId="33" borderId="1" applyAlignment="1" pivotButton="0" quotePrefix="0" xfId="0">
      <alignment horizontal="left" vertical="center"/>
    </xf>
    <xf numFmtId="0" fontId="30" fillId="33" borderId="1" applyAlignment="1" pivotButton="0" quotePrefix="0" xfId="0">
      <alignment horizontal="center" vertical="center"/>
    </xf>
    <xf numFmtId="164" fontId="30" fillId="33" borderId="1" applyAlignment="1" pivotButton="0" quotePrefix="0" xfId="0">
      <alignment horizontal="center" vertical="center"/>
    </xf>
    <xf numFmtId="0" fontId="31" fillId="24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0" fillId="9" borderId="1" applyAlignment="1" pivotButton="0" quotePrefix="0" xfId="0">
      <alignment horizontal="left" vertical="center"/>
    </xf>
    <xf numFmtId="164" fontId="30" fillId="9" borderId="1" applyAlignment="1" pivotButton="0" quotePrefix="0" xfId="0">
      <alignment horizontal="center" vertical="center"/>
    </xf>
    <xf numFmtId="0" fontId="30" fillId="35" borderId="1" applyAlignment="1" pivotButton="0" quotePrefix="0" xfId="0">
      <alignment horizontal="left" vertical="center"/>
    </xf>
    <xf numFmtId="0" fontId="30" fillId="35" borderId="1" applyAlignment="1" pivotButton="0" quotePrefix="0" xfId="0">
      <alignment horizontal="center" vertical="center"/>
    </xf>
    <xf numFmtId="164" fontId="30" fillId="35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/>
    </xf>
    <xf numFmtId="164" fontId="30" fillId="7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left" vertical="center"/>
    </xf>
    <xf numFmtId="0" fontId="30" fillId="24" borderId="1" applyAlignment="1" pivotButton="0" quotePrefix="0" xfId="0">
      <alignment horizontal="center" vertical="center"/>
    </xf>
    <xf numFmtId="164" fontId="30" fillId="24" borderId="1" applyAlignment="1" pivotButton="0" quotePrefix="0" xfId="0">
      <alignment horizontal="center" vertical="center"/>
    </xf>
    <xf numFmtId="1" fontId="37" fillId="33" borderId="8" applyAlignment="1" pivotButton="0" quotePrefix="0" xfId="0">
      <alignment horizontal="center"/>
    </xf>
    <xf numFmtId="1" fontId="39" fillId="9" borderId="8" applyAlignment="1" pivotButton="0" quotePrefix="0" xfId="0">
      <alignment horizontal="center"/>
    </xf>
    <xf numFmtId="1" fontId="42" fillId="24" borderId="8" applyAlignment="1" pivotButton="0" quotePrefix="0" xfId="0">
      <alignment horizontal="center"/>
    </xf>
    <xf numFmtId="0" fontId="29" fillId="22" borderId="1" applyAlignment="1" pivotButton="0" quotePrefix="0" xfId="0">
      <alignment horizontal="left" vertical="center"/>
    </xf>
    <xf numFmtId="1" fontId="42" fillId="22" borderId="8" applyAlignment="1" pivotButton="0" quotePrefix="0" xfId="0">
      <alignment horizontal="center"/>
    </xf>
    <xf numFmtId="165" fontId="39" fillId="9" borderId="8" applyAlignment="1" pivotButton="0" quotePrefix="0" xfId="0">
      <alignment horizontal="center"/>
    </xf>
    <xf numFmtId="164" fontId="30" fillId="10" borderId="1" applyAlignment="1" pivotButton="0" quotePrefix="0" xfId="0">
      <alignment horizontal="center" vertical="center"/>
    </xf>
    <xf numFmtId="164" fontId="36" fillId="33" borderId="1" applyAlignment="1" pivotButton="0" quotePrefix="0" xfId="0">
      <alignment horizontal="center" vertical="center"/>
    </xf>
    <xf numFmtId="166" fontId="31" fillId="9" borderId="1" applyAlignment="1" pivotButton="0" quotePrefix="0" xfId="0">
      <alignment horizontal="center" vertical="center"/>
    </xf>
    <xf numFmtId="164" fontId="16" fillId="9" borderId="1" applyAlignment="1" pivotButton="0" quotePrefix="0" xfId="0">
      <alignment horizontal="center" vertical="center"/>
    </xf>
    <xf numFmtId="164" fontId="30" fillId="11" borderId="1" applyAlignment="1" pivotButton="0" quotePrefix="0" xfId="0">
      <alignment horizontal="center" vertical="center"/>
    </xf>
    <xf numFmtId="166" fontId="31" fillId="22" borderId="1" applyAlignment="1" pivotButton="0" quotePrefix="0" xfId="0">
      <alignment horizontal="center" vertical="center"/>
    </xf>
    <xf numFmtId="166" fontId="31" fillId="7" borderId="1" applyAlignment="1" pivotButton="0" quotePrefix="0" xfId="0">
      <alignment horizontal="center" vertical="center"/>
    </xf>
    <xf numFmtId="0" fontId="7" fillId="33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164" fontId="8" fillId="33" borderId="8" applyAlignment="1" pivotButton="0" quotePrefix="0" xfId="0">
      <alignment horizontal="center" vertical="center"/>
    </xf>
    <xf numFmtId="164" fontId="4" fillId="9" borderId="8" applyAlignment="1" pivotButton="0" quotePrefix="0" xfId="0">
      <alignment horizontal="center" vertical="center"/>
    </xf>
    <xf numFmtId="166" fontId="30" fillId="10" borderId="1" applyAlignment="1" pivotButton="0" quotePrefix="0" xfId="0">
      <alignment horizontal="center" vertical="center"/>
    </xf>
    <xf numFmtId="164" fontId="16" fillId="10" borderId="1" applyAlignment="1" pivotButton="0" quotePrefix="0" xfId="0">
      <alignment horizontal="center" vertical="center"/>
    </xf>
    <xf numFmtId="0" fontId="31" fillId="9" borderId="1" applyAlignment="1" pivotButton="0" quotePrefix="0" xfId="0">
      <alignment horizontal="center" vertical="center"/>
    </xf>
    <xf numFmtId="166" fontId="30" fillId="11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left" vertical="center"/>
    </xf>
    <xf numFmtId="0" fontId="30" fillId="2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35" fillId="31" borderId="0" applyAlignment="1" pivotButton="0" quotePrefix="0" xfId="0">
      <alignment horizontal="center" vertical="center"/>
    </xf>
    <xf numFmtId="0" fontId="30" fillId="11" borderId="1" applyAlignment="1" pivotButton="0" quotePrefix="0" xfId="0">
      <alignment horizontal="left" vertical="center"/>
    </xf>
    <xf numFmtId="164" fontId="16" fillId="11" borderId="1" applyAlignment="1" pivotButton="0" quotePrefix="0" xfId="0">
      <alignment horizontal="center" vertical="center"/>
    </xf>
    <xf numFmtId="165" fontId="30" fillId="9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left" vertical="center"/>
    </xf>
    <xf numFmtId="164" fontId="16" fillId="10" borderId="1" applyAlignment="1" pivotButton="0" quotePrefix="0" xfId="0">
      <alignment horizontal="center" vertical="center"/>
    </xf>
    <xf numFmtId="165" fontId="30" fillId="22" borderId="1" applyAlignment="1" pivotButton="0" quotePrefix="0" xfId="0">
      <alignment horizontal="center" vertical="center"/>
    </xf>
    <xf numFmtId="164" fontId="31" fillId="11" borderId="1" applyAlignment="1" pivotButton="0" quotePrefix="0" xfId="0">
      <alignment horizontal="center" vertical="center"/>
    </xf>
    <xf numFmtId="165" fontId="30" fillId="7" borderId="1" applyAlignment="1" pivotButton="0" quotePrefix="0" xfId="0">
      <alignment horizontal="center" vertical="center"/>
    </xf>
    <xf numFmtId="164" fontId="31" fillId="10" borderId="1" applyAlignment="1" pivotButton="0" quotePrefix="0" xfId="0">
      <alignment horizontal="center" vertical="center"/>
    </xf>
    <xf numFmtId="0" fontId="43" fillId="24" borderId="1" applyAlignment="1" pivotButton="0" quotePrefix="0" xfId="0">
      <alignment horizontal="center"/>
    </xf>
    <xf numFmtId="0" fontId="43" fillId="22" borderId="1" applyAlignment="1" pivotButton="0" quotePrefix="0" xfId="0">
      <alignment horizontal="center"/>
    </xf>
    <xf numFmtId="1" fontId="42" fillId="22" borderId="8" applyAlignment="1" pivotButton="0" quotePrefix="0" xfId="0">
      <alignment horizontal="center" vertical="center"/>
    </xf>
    <xf numFmtId="164" fontId="31" fillId="11" borderId="1" applyAlignment="1" pivotButton="0" quotePrefix="0" xfId="0">
      <alignment horizontal="center" vertical="center"/>
    </xf>
    <xf numFmtId="164" fontId="31" fillId="10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left" vertical="center"/>
    </xf>
    <xf numFmtId="0" fontId="30" fillId="14" borderId="1" applyAlignment="1" pivotButton="0" quotePrefix="0" xfId="0">
      <alignment horizontal="left" vertical="center"/>
    </xf>
    <xf numFmtId="0" fontId="31" fillId="22" borderId="1" applyAlignment="1" pivotButton="0" quotePrefix="0" xfId="0">
      <alignment horizontal="left" vertical="center"/>
    </xf>
    <xf numFmtId="0" fontId="30" fillId="19" borderId="1" applyAlignment="1" pivotButton="0" quotePrefix="0" xfId="0">
      <alignment horizontal="left" vertical="center"/>
    </xf>
    <xf numFmtId="0" fontId="31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6" customWidth="1" min="5" max="5"/>
    <col width="24" customWidth="1" min="6" max="6"/>
  </cols>
  <sheetData>
    <row r="1" ht="46" customHeight="1">
      <c r="A1" s="1" t="inlineStr">
        <is>
          <t>🏆  AS RECRUITMENT — FOUNDER CONTROL ROOM  |  Revenue · Margin · Cash Flow</t>
        </is>
      </c>
    </row>
    <row r="3" ht="22" customHeight="1">
      <c r="A3" s="2" t="inlineStr">
        <is>
          <t>💰  REVENUE SNAPSHOT (Update Daily)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5" t="n"/>
    </row>
    <row r="4" ht="22" customHeight="1">
      <c r="A4" s="3" t="inlineStr">
        <is>
          <t>This Month Revenue (₹)</t>
        </is>
      </c>
      <c r="B4" s="4" t="inlineStr">
        <is>
          <t>Pipeline Revenue (₹)</t>
        </is>
      </c>
      <c r="C4" s="5" t="inlineStr">
        <is>
          <t>Collected Revenue (₹)</t>
        </is>
      </c>
      <c r="D4" s="6" t="inlineStr">
        <is>
          <t>Outstanding Payments (₹)</t>
        </is>
      </c>
      <c r="E4" s="7" t="inlineStr">
        <is>
          <t>Avg Fee/Placement (₹)</t>
        </is>
      </c>
      <c r="F4" s="8" t="inlineStr">
        <is>
          <t>Placements This Month</t>
        </is>
      </c>
    </row>
    <row r="5" ht="42" customHeight="1">
      <c r="A5" s="9" t="n">
        <v>0</v>
      </c>
      <c r="B5" s="10" t="n">
        <v>0</v>
      </c>
      <c r="C5" s="11" t="n">
        <v>0</v>
      </c>
      <c r="D5" s="12" t="n">
        <v>0</v>
      </c>
      <c r="E5" s="13" t="n">
        <v>8000</v>
      </c>
      <c r="F5" s="14" t="n">
        <v>0</v>
      </c>
    </row>
    <row r="7" ht="22" customHeight="1">
      <c r="A7" s="2" t="inlineStr">
        <is>
          <t>🎯  TODAY'S TARGET vs ACTUAL (Pressure builds with comparison)</t>
        </is>
      </c>
      <c r="B7" s="174" t="n"/>
      <c r="C7" s="174" t="n"/>
      <c r="D7" s="174" t="n"/>
      <c r="E7" s="174" t="n"/>
      <c r="F7" s="174" t="n"/>
      <c r="G7" s="174" t="n"/>
      <c r="H7" s="174" t="n"/>
      <c r="I7" s="174" t="n"/>
      <c r="J7" s="175" t="n"/>
    </row>
    <row r="8" ht="24" customHeight="1">
      <c r="A8" s="15" t="inlineStr">
        <is>
          <t>Metric</t>
        </is>
      </c>
      <c r="B8" s="15" t="inlineStr">
        <is>
          <t>Daily Target</t>
        </is>
      </c>
      <c r="C8" s="15" t="inlineStr">
        <is>
          <t>Actual Today</t>
        </is>
      </c>
      <c r="D8" s="15" t="inlineStr">
        <is>
          <t>Gap</t>
        </is>
      </c>
      <c r="E8" s="15" t="inlineStr">
        <is>
          <t>% Achieved</t>
        </is>
      </c>
      <c r="F8" s="15" t="inlineStr">
        <is>
          <t>Status</t>
        </is>
      </c>
    </row>
    <row r="9" ht="20" customHeight="1">
      <c r="A9" s="16" t="inlineStr">
        <is>
          <t>Employers Called</t>
        </is>
      </c>
      <c r="B9" s="17" t="n">
        <v>10</v>
      </c>
      <c r="C9" s="17" t="n">
        <v>0</v>
      </c>
      <c r="D9" s="18" t="n">
        <v>-10</v>
      </c>
      <c r="E9" s="17" t="inlineStr">
        <is>
          <t>0%</t>
        </is>
      </c>
      <c r="F9" s="19" t="inlineStr">
        <is>
          <t>🔴 Critical</t>
        </is>
      </c>
    </row>
    <row r="10" ht="20" customHeight="1">
      <c r="A10" s="20" t="inlineStr">
        <is>
          <t>Profiles Shared</t>
        </is>
      </c>
      <c r="B10" s="21" t="n">
        <v>5</v>
      </c>
      <c r="C10" s="21" t="n">
        <v>0</v>
      </c>
      <c r="D10" s="22" t="n">
        <v>-5</v>
      </c>
      <c r="E10" s="21" t="inlineStr">
        <is>
          <t>0%</t>
        </is>
      </c>
      <c r="F10" s="19" t="inlineStr">
        <is>
          <t>🔴 Critical</t>
        </is>
      </c>
    </row>
    <row r="11" ht="20" customHeight="1">
      <c r="A11" s="16" t="inlineStr">
        <is>
          <t>Interviews Scheduled</t>
        </is>
      </c>
      <c r="B11" s="17" t="n">
        <v>3</v>
      </c>
      <c r="C11" s="17" t="n">
        <v>0</v>
      </c>
      <c r="D11" s="18" t="n">
        <v>-3</v>
      </c>
      <c r="E11" s="17" t="inlineStr">
        <is>
          <t>0%</t>
        </is>
      </c>
      <c r="F11" s="19" t="inlineStr">
        <is>
          <t>🔴 Critical</t>
        </is>
      </c>
    </row>
    <row r="12" ht="20" customHeight="1">
      <c r="A12" s="20" t="inlineStr">
        <is>
          <t>Candidates Activated (WhatsApp)</t>
        </is>
      </c>
      <c r="B12" s="21" t="n">
        <v>20</v>
      </c>
      <c r="C12" s="21" t="n">
        <v>0</v>
      </c>
      <c r="D12" s="22" t="n">
        <v>-20</v>
      </c>
      <c r="E12" s="21" t="inlineStr">
        <is>
          <t>0%</t>
        </is>
      </c>
      <c r="F12" s="19" t="inlineStr">
        <is>
          <t>🔴 Critical</t>
        </is>
      </c>
    </row>
    <row r="13" ht="20" customHeight="1">
      <c r="A13" s="16" t="inlineStr">
        <is>
          <t>Offers Followed Up</t>
        </is>
      </c>
      <c r="B13" s="17" t="n">
        <v>2</v>
      </c>
      <c r="C13" s="17" t="n">
        <v>0</v>
      </c>
      <c r="D13" s="18" t="n">
        <v>-2</v>
      </c>
      <c r="E13" s="17" t="inlineStr">
        <is>
          <t>0%</t>
        </is>
      </c>
      <c r="F13" s="19" t="inlineStr">
        <is>
          <t>🔴 Critical</t>
        </is>
      </c>
    </row>
    <row r="15" ht="22" customHeight="1">
      <c r="A15" s="2" t="inlineStr">
        <is>
          <t>💸  COST TRACKING — Revenue – Cost = Real Profit</t>
        </is>
      </c>
      <c r="B15" s="174" t="n"/>
      <c r="C15" s="174" t="n"/>
      <c r="D15" s="174" t="n"/>
      <c r="E15" s="174" t="n"/>
      <c r="F15" s="174" t="n"/>
      <c r="G15" s="174" t="n"/>
      <c r="H15" s="174" t="n"/>
      <c r="I15" s="174" t="n"/>
      <c r="J15" s="175" t="n"/>
    </row>
    <row r="16" ht="24" customHeight="1">
      <c r="A16" s="15" t="inlineStr">
        <is>
          <t>Cost Item</t>
        </is>
      </c>
      <c r="B16" s="15" t="inlineStr">
        <is>
          <t>Daily Budget (₹)</t>
        </is>
      </c>
      <c r="C16" s="15" t="inlineStr">
        <is>
          <t>Actual Today (₹)</t>
        </is>
      </c>
      <c r="D16" s="15" t="inlineStr">
        <is>
          <t>Monthly Budget (₹)</t>
        </is>
      </c>
      <c r="E16" s="15" t="inlineStr">
        <is>
          <t>Monthly Actual (₹)</t>
        </is>
      </c>
      <c r="F16" s="15" t="inlineStr">
        <is>
          <t>Notes</t>
        </is>
      </c>
    </row>
    <row r="17" ht="20" customHeight="1">
      <c r="A17" s="23" t="inlineStr">
        <is>
          <t>Daily Ad Spend (WhatsApp/Meta)</t>
        </is>
      </c>
      <c r="B17" s="24" t="n">
        <v>500</v>
      </c>
      <c r="C17" s="24" t="n">
        <v>0</v>
      </c>
      <c r="D17" s="24" t="n">
        <v>15000</v>
      </c>
      <c r="E17" s="24" t="n">
        <v>0</v>
      </c>
      <c r="F17" s="23" t="inlineStr">
        <is>
          <t>Facebook/Google job ads</t>
        </is>
      </c>
    </row>
    <row r="18" ht="20" customHeight="1">
      <c r="A18" s="23" t="inlineStr">
        <is>
          <t>Recruiter Salary (per day)</t>
        </is>
      </c>
      <c r="B18" s="24" t="n">
        <v>833</v>
      </c>
      <c r="C18" s="24" t="n">
        <v>0</v>
      </c>
      <c r="D18" s="24" t="n">
        <v>25000</v>
      </c>
      <c r="E18" s="24" t="n">
        <v>0</v>
      </c>
      <c r="F18" s="23" t="inlineStr">
        <is>
          <t>₹25K/month salary ÷ 30</t>
        </is>
      </c>
    </row>
    <row r="19" ht="20" customHeight="1">
      <c r="A19" s="23" t="inlineStr">
        <is>
          <t>Phone/Internet</t>
        </is>
      </c>
      <c r="B19" s="24" t="n">
        <v>100</v>
      </c>
      <c r="C19" s="24" t="n">
        <v>0</v>
      </c>
      <c r="D19" s="24" t="n">
        <v>3000</v>
      </c>
      <c r="E19" s="24" t="n">
        <v>0</v>
      </c>
      <c r="F19" s="23" t="inlineStr">
        <is>
          <t>Calls + data</t>
        </is>
      </c>
    </row>
    <row r="20" ht="20" customHeight="1">
      <c r="A20" s="23" t="inlineStr">
        <is>
          <t>Miscellaneous Ops</t>
        </is>
      </c>
      <c r="B20" s="24" t="n">
        <v>200</v>
      </c>
      <c r="C20" s="24" t="n">
        <v>0</v>
      </c>
      <c r="D20" s="24" t="n">
        <v>6000</v>
      </c>
      <c r="E20" s="24" t="n">
        <v>0</v>
      </c>
      <c r="F20" s="23" t="inlineStr">
        <is>
          <t>Travel, printing etc</t>
        </is>
      </c>
    </row>
    <row r="21" ht="20" customHeight="1">
      <c r="A21" s="25" t="inlineStr">
        <is>
          <t>TOTAL DAILY COST</t>
        </is>
      </c>
      <c r="B21" s="19">
        <f>SUM(B18:B21)</f>
        <v/>
      </c>
      <c r="C21" s="19">
        <f>SUM(C18:C21)</f>
        <v/>
      </c>
      <c r="D21" s="19">
        <f>SUM(D18:D21)</f>
        <v/>
      </c>
      <c r="E21" s="19">
        <f>SUM(E18:E21)</f>
        <v/>
      </c>
      <c r="F21" s="25" t="inlineStr"/>
    </row>
    <row r="23" ht="22" customHeight="1">
      <c r="A23" s="2" t="inlineStr">
        <is>
          <t>📈  PROFIT SUMMARY — The Number That Actually Matters</t>
        </is>
      </c>
      <c r="B23" s="174" t="n"/>
      <c r="C23" s="174" t="n"/>
      <c r="D23" s="174" t="n"/>
      <c r="E23" s="174" t="n"/>
      <c r="F23" s="174" t="n"/>
      <c r="G23" s="174" t="n"/>
      <c r="H23" s="174" t="n"/>
      <c r="I23" s="174" t="n"/>
      <c r="J23" s="175" t="n"/>
    </row>
    <row r="24" ht="24" customHeight="1">
      <c r="A24" s="15" t="inlineStr">
        <is>
          <t>Metric</t>
        </is>
      </c>
      <c r="B24" s="15" t="inlineStr">
        <is>
          <t>Formula</t>
        </is>
      </c>
      <c r="C24" s="15" t="inlineStr">
        <is>
          <t>This Month Value (₹)</t>
        </is>
      </c>
      <c r="D24" s="15" t="inlineStr">
        <is>
          <t>Notes</t>
        </is>
      </c>
    </row>
    <row r="25" ht="20" customHeight="1">
      <c r="A25" s="26" t="inlineStr">
        <is>
          <t>Gross Revenue</t>
        </is>
      </c>
      <c r="B25" s="26" t="inlineStr">
        <is>
          <t>Placements × ₹8,000</t>
        </is>
      </c>
      <c r="C25" s="27" t="n">
        <v>0</v>
      </c>
      <c r="D25" s="26" t="inlineStr">
        <is>
          <t>Fill from Row 5</t>
        </is>
      </c>
    </row>
    <row r="26" ht="20" customHeight="1">
      <c r="A26" s="28" t="inlineStr">
        <is>
          <t>Total Cost</t>
        </is>
      </c>
      <c r="B26" s="28" t="inlineStr">
        <is>
          <t>Salary + Ads + Ops</t>
        </is>
      </c>
      <c r="C26" s="29" t="n">
        <v>49000</v>
      </c>
      <c r="D26" s="28" t="inlineStr">
        <is>
          <t>₹25K salary + ₹15K ads + ₹9K ops</t>
        </is>
      </c>
    </row>
    <row r="27" ht="20" customHeight="1">
      <c r="A27" s="30" t="inlineStr">
        <is>
          <t>Net Profit</t>
        </is>
      </c>
      <c r="B27" s="30" t="inlineStr">
        <is>
          <t>Revenue – Cost</t>
        </is>
      </c>
      <c r="C27" s="31" t="n">
        <v>-49000</v>
      </c>
      <c r="D27" s="30" t="inlineStr">
        <is>
          <t>Negative until ~7 placements/month</t>
        </is>
      </c>
    </row>
    <row r="28" ht="20" customHeight="1">
      <c r="A28" s="32" t="inlineStr">
        <is>
          <t>Net Profit %</t>
        </is>
      </c>
      <c r="B28" s="32" t="inlineStr">
        <is>
          <t>Net Profit ÷ Revenue</t>
        </is>
      </c>
      <c r="C28" s="33" t="inlineStr">
        <is>
          <t>0%</t>
        </is>
      </c>
      <c r="D28" s="32" t="inlineStr">
        <is>
          <t>Target: 60%+</t>
        </is>
      </c>
    </row>
    <row r="29" ht="20" customHeight="1">
      <c r="A29" s="34" t="inlineStr">
        <is>
          <t>Cost Per Placement</t>
        </is>
      </c>
      <c r="B29" s="34" t="inlineStr">
        <is>
          <t>Total Cost ÷ Placements</t>
        </is>
      </c>
      <c r="C29" s="35" t="inlineStr">
        <is>
          <t>N/A</t>
        </is>
      </c>
      <c r="D29" s="34" t="inlineStr">
        <is>
          <t>Target: &lt; ₹5,000</t>
        </is>
      </c>
    </row>
    <row r="30" ht="20" customHeight="1">
      <c r="A30" s="28" t="inlineStr">
        <is>
          <t>Break-Even Placements</t>
        </is>
      </c>
      <c r="B30" s="28" t="inlineStr">
        <is>
          <t>Total Cost ÷ ₹8,000</t>
        </is>
      </c>
      <c r="C30" s="36" t="n">
        <v>7</v>
      </c>
      <c r="D30" s="28" t="inlineStr">
        <is>
          <t>Need 7 placements/month to break even</t>
        </is>
      </c>
    </row>
    <row r="32" ht="22" customHeight="1">
      <c r="A32" s="2" t="inlineStr">
        <is>
          <t>🏆  CLIENT LIFETIME VALUE &amp; BUSINESS HEALTH</t>
        </is>
      </c>
      <c r="B32" s="174" t="n"/>
      <c r="C32" s="174" t="n"/>
      <c r="D32" s="174" t="n"/>
      <c r="E32" s="174" t="n"/>
      <c r="F32" s="174" t="n"/>
      <c r="G32" s="174" t="n"/>
      <c r="H32" s="174" t="n"/>
      <c r="I32" s="174" t="n"/>
      <c r="J32" s="175" t="n"/>
    </row>
    <row r="33" ht="24" customHeight="1">
      <c r="A33" s="15" t="inlineStr">
        <is>
          <t>Metric</t>
        </is>
      </c>
      <c r="B33" s="15" t="inlineStr">
        <is>
          <t>Value</t>
        </is>
      </c>
      <c r="C33" s="15" t="inlineStr">
        <is>
          <t>Target</t>
        </is>
      </c>
      <c r="D33" s="15" t="inlineStr">
        <is>
          <t>Status</t>
        </is>
      </c>
      <c r="E33" s="15" t="inlineStr">
        <is>
          <t>Notes</t>
        </is>
      </c>
    </row>
    <row r="34" ht="20" customHeight="1">
      <c r="A34" s="20" t="inlineStr">
        <is>
          <t>Repeat Client Revenue %</t>
        </is>
      </c>
      <c r="B34" s="21" t="inlineStr">
        <is>
          <t>0%</t>
        </is>
      </c>
      <c r="C34" s="21" t="inlineStr">
        <is>
          <t>40%</t>
        </is>
      </c>
      <c r="D34" s="19" t="inlineStr">
        <is>
          <t>🔴 Track</t>
        </is>
      </c>
      <c r="E34" s="20" t="inlineStr">
        <is>
          <t>% revenue from returning clients</t>
        </is>
      </c>
    </row>
    <row r="35" ht="20" customHeight="1">
      <c r="A35" s="16" t="inlineStr">
        <is>
          <t>Avg Client LTV (₹)</t>
        </is>
      </c>
      <c r="B35" s="17" t="inlineStr">
        <is>
          <t>0</t>
        </is>
      </c>
      <c r="C35" s="17" t="inlineStr">
        <is>
          <t>₹1,50,000</t>
        </is>
      </c>
      <c r="D35" s="19" t="inlineStr">
        <is>
          <t>🔴 Track</t>
        </is>
      </c>
      <c r="E35" s="16" t="inlineStr">
        <is>
          <t>Avg total revenue per employer</t>
        </is>
      </c>
    </row>
    <row r="36" ht="20" customHeight="1">
      <c r="A36" s="20" t="inlineStr">
        <is>
          <t>Active Retainer Clients</t>
        </is>
      </c>
      <c r="B36" s="21" t="inlineStr">
        <is>
          <t>0</t>
        </is>
      </c>
      <c r="C36" s="21" t="inlineStr">
        <is>
          <t>3</t>
        </is>
      </c>
      <c r="D36" s="37" t="inlineStr">
        <is>
          <t>🔴 Build</t>
        </is>
      </c>
      <c r="E36" s="20" t="inlineStr">
        <is>
          <t>Monthly retainer = predictable income</t>
        </is>
      </c>
    </row>
    <row r="37" ht="20" customHeight="1">
      <c r="A37" s="16" t="inlineStr">
        <is>
          <t>Avg Replacement Rate</t>
        </is>
      </c>
      <c r="B37" s="17" t="inlineStr">
        <is>
          <t>0%</t>
        </is>
      </c>
      <c r="C37" s="17" t="inlineStr">
        <is>
          <t>&lt;10%</t>
        </is>
      </c>
      <c r="D37" s="38" t="inlineStr">
        <is>
          <t>🟢 Good</t>
        </is>
      </c>
      <c r="E37" s="16" t="inlineStr">
        <is>
          <t>Candidates replaced after joining</t>
        </is>
      </c>
    </row>
    <row r="38" ht="20" customHeight="1">
      <c r="A38" s="20" t="inlineStr">
        <is>
          <t>Net Promoter Score</t>
        </is>
      </c>
      <c r="B38" s="21" t="inlineStr">
        <is>
          <t>N/A</t>
        </is>
      </c>
      <c r="C38" s="21" t="inlineStr">
        <is>
          <t>8+</t>
        </is>
      </c>
      <c r="D38" s="39" t="inlineStr">
        <is>
          <t>⚪ Collect</t>
        </is>
      </c>
      <c r="E38" s="20" t="inlineStr">
        <is>
          <t>Ask clients: Rate us 1–10</t>
        </is>
      </c>
    </row>
    <row r="40" ht="22" customHeight="1">
      <c r="A40" s="215" t="inlineStr">
        <is>
          <t>💡  REVENUE FORMULA ENGINE — Placements × Fee = Everything</t>
        </is>
      </c>
    </row>
    <row r="41" ht="24" customHeight="1">
      <c r="A41" s="216" t="inlineStr">
        <is>
          <t>Avg Placement Fee (₹)</t>
        </is>
      </c>
      <c r="B41" s="217" t="n">
        <v>8000</v>
      </c>
      <c r="C41" s="218" t="inlineStr">
        <is>
          <t>🔵 Change to ₹12K for IT/Exec, ₹15K for executive search</t>
        </is>
      </c>
    </row>
    <row r="42" ht="24" customHeight="1">
      <c r="A42" s="219" t="inlineStr">
        <is>
          <t>Placements This Month</t>
        </is>
      </c>
      <c r="B42" s="220" t="n">
        <v>0</v>
      </c>
      <c r="C42" s="218" t="inlineStr">
        <is>
          <t>Update daily — this is the only number that matters</t>
        </is>
      </c>
    </row>
    <row r="43" ht="24" customHeight="1">
      <c r="A43" s="221" t="inlineStr">
        <is>
          <t>Gross Revenue (₹)  =  Placements × Fee</t>
        </is>
      </c>
      <c r="B43" s="222">
        <f>B41*B42</f>
        <v/>
      </c>
      <c r="C43" s="218" t="inlineStr">
        <is>
          <t>Auto-calculated</t>
        </is>
      </c>
    </row>
    <row r="44" ht="24" customHeight="1">
      <c r="A44" s="223" t="inlineStr">
        <is>
          <t>Monthly Fixed Cost (₹)</t>
        </is>
      </c>
      <c r="B44" s="224" t="n">
        <v>49000</v>
      </c>
      <c r="C44" s="218" t="inlineStr">
        <is>
          <t>Salary ₹25K + Ads ₹15K + Ops ₹9K — target: keep below revenue</t>
        </is>
      </c>
    </row>
    <row r="45" ht="24" customHeight="1">
      <c r="A45" s="219" t="inlineStr">
        <is>
          <t>Net Profit (₹)  =  Revenue − Cost</t>
        </is>
      </c>
      <c r="B45" s="225">
        <f>B43-B44</f>
        <v/>
      </c>
      <c r="C45" s="218" t="inlineStr">
        <is>
          <t>Auto-calculated — negative until ~7 placements/month</t>
        </is>
      </c>
    </row>
    <row r="46" ht="24" customHeight="1">
      <c r="A46" s="226" t="inlineStr">
        <is>
          <t>Profit Margin %</t>
        </is>
      </c>
      <c r="B46" s="227">
        <f>IF(B43&gt;0,B45/B43,0)</f>
        <v/>
      </c>
      <c r="C46" s="218" t="inlineStr">
        <is>
          <t>Auto-calculated — target: 60%+</t>
        </is>
      </c>
    </row>
    <row r="47" ht="24" customHeight="1">
      <c r="A47" s="228" t="inlineStr">
        <is>
          <t>Daily Revenue Target (₹)</t>
        </is>
      </c>
      <c r="B47" s="229">
        <f>B43/26</f>
        <v/>
      </c>
      <c r="C47" s="218" t="inlineStr">
        <is>
          <t>Auto = Monthly Target ÷ 26 working days</t>
        </is>
      </c>
    </row>
  </sheetData>
  <mergeCells count="7">
    <mergeCell ref="A1:J1"/>
    <mergeCell ref="A23:J23"/>
    <mergeCell ref="A32:J32"/>
    <mergeCell ref="A3:J3"/>
    <mergeCell ref="A40:I40"/>
    <mergeCell ref="A15:J15"/>
    <mergeCell ref="A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6" customWidth="1" min="4" max="4"/>
    <col width="10" customWidth="1" min="5" max="5"/>
    <col width="13" customWidth="1" min="6" max="6"/>
    <col width="16" customWidth="1" min="7" max="7"/>
    <col width="12" customWidth="1" min="8" max="8"/>
    <col width="15" customWidth="1" min="9" max="9"/>
    <col width="20" customWidth="1" min="10" max="10"/>
  </cols>
  <sheetData>
    <row r="1" ht="40" customHeight="1">
      <c r="A1" s="40" t="inlineStr">
        <is>
          <t>⚡  DAILY WAR ROOM — Calls · Profiles · Interviews · Revenue</t>
        </is>
      </c>
    </row>
    <row r="3" ht="22" customHeight="1">
      <c r="A3" s="2" t="inlineStr">
        <is>
          <t>📞  TOP 15 EMPLOYER CALL LIST — Sorted by Weighted Revenue</t>
        </is>
      </c>
      <c r="B3" s="174" t="n"/>
      <c r="C3" s="174" t="n"/>
      <c r="D3" s="174" t="n"/>
      <c r="E3" s="174" t="n"/>
      <c r="F3" s="174" t="n"/>
      <c r="G3" s="174" t="n"/>
      <c r="H3" s="174" t="n"/>
      <c r="I3" s="175" t="n"/>
    </row>
    <row r="4" ht="26" customHeight="1">
      <c r="A4" s="15" t="inlineStr">
        <is>
          <t>#</t>
        </is>
      </c>
      <c r="B4" s="15" t="inlineStr">
        <is>
          <t>Company</t>
        </is>
      </c>
      <c r="C4" s="15" t="inlineStr">
        <is>
          <t>City</t>
        </is>
      </c>
      <c r="D4" s="15" t="inlineStr">
        <is>
          <t>HR Contact</t>
        </is>
      </c>
      <c r="E4" s="15" t="inlineStr">
        <is>
          <t>Phone</t>
        </is>
      </c>
      <c r="F4" s="15" t="inlineStr">
        <is>
          <t>Weighted Rev (₹)</t>
        </is>
      </c>
      <c r="G4" s="15" t="inlineStr">
        <is>
          <t>Call Status</t>
        </is>
      </c>
      <c r="H4" s="15" t="inlineStr">
        <is>
          <t>Outcome</t>
        </is>
      </c>
      <c r="I4" s="15" t="inlineStr">
        <is>
          <t>Next Action</t>
        </is>
      </c>
    </row>
    <row r="5" ht="20" customHeight="1">
      <c r="A5" s="41" t="n">
        <v>1</v>
      </c>
      <c r="B5" s="42" t="inlineStr">
        <is>
          <t>Teleperformance</t>
        </is>
      </c>
      <c r="C5" s="41" t="inlineStr">
        <is>
          <t>Kanpur</t>
        </is>
      </c>
      <c r="D5" s="42" t="inlineStr">
        <is>
          <t>Sneha Tiwari</t>
        </is>
      </c>
      <c r="E5" s="41" t="inlineStr">
        <is>
          <t>+91-9801234567</t>
        </is>
      </c>
      <c r="F5" s="43" t="n">
        <v>560000</v>
      </c>
      <c r="G5" s="41" t="inlineStr">
        <is>
          <t>Not Called</t>
        </is>
      </c>
      <c r="H5" s="42" t="inlineStr"/>
      <c r="I5" s="42" t="inlineStr"/>
    </row>
    <row r="6" ht="20" customHeight="1">
      <c r="A6" s="41" t="n">
        <v>2</v>
      </c>
      <c r="B6" s="42" t="inlineStr">
        <is>
          <t>iEnergizer</t>
        </is>
      </c>
      <c r="C6" s="41" t="inlineStr">
        <is>
          <t>Lucknow</t>
        </is>
      </c>
      <c r="D6" s="42" t="inlineStr">
        <is>
          <t>Priya Singh</t>
        </is>
      </c>
      <c r="E6" s="41" t="inlineStr">
        <is>
          <t>+91-9823456789</t>
        </is>
      </c>
      <c r="F6" s="43" t="n">
        <v>450000</v>
      </c>
      <c r="G6" s="41" t="inlineStr">
        <is>
          <t>Not Called</t>
        </is>
      </c>
      <c r="H6" s="42" t="inlineStr"/>
      <c r="I6" s="42" t="inlineStr"/>
    </row>
    <row r="7" ht="20" customHeight="1">
      <c r="A7" s="41" t="n">
        <v>3</v>
      </c>
      <c r="B7" s="42" t="inlineStr">
        <is>
          <t>Sutherland Global</t>
        </is>
      </c>
      <c r="C7" s="41" t="inlineStr">
        <is>
          <t>Jaipur</t>
        </is>
      </c>
      <c r="D7" s="42" t="inlineStr">
        <is>
          <t>Vikram Singh</t>
        </is>
      </c>
      <c r="E7" s="41" t="inlineStr">
        <is>
          <t>+91-9778901234</t>
        </is>
      </c>
      <c r="F7" s="43" t="n">
        <v>412500</v>
      </c>
      <c r="G7" s="41" t="inlineStr">
        <is>
          <t>Not Called</t>
        </is>
      </c>
      <c r="H7" s="42" t="inlineStr"/>
      <c r="I7" s="42" t="inlineStr"/>
    </row>
    <row r="8" ht="20" customHeight="1">
      <c r="A8" s="41" t="n">
        <v>4</v>
      </c>
      <c r="B8" s="42" t="inlineStr">
        <is>
          <t>Genpact</t>
        </is>
      </c>
      <c r="C8" s="41" t="inlineStr">
        <is>
          <t>Noida</t>
        </is>
      </c>
      <c r="D8" s="42" t="inlineStr">
        <is>
          <t>Nisha Agarwal</t>
        </is>
      </c>
      <c r="E8" s="41" t="inlineStr">
        <is>
          <t>+91-9845678901</t>
        </is>
      </c>
      <c r="F8" s="43" t="n">
        <v>247500</v>
      </c>
      <c r="G8" s="41" t="inlineStr">
        <is>
          <t>Not Called</t>
        </is>
      </c>
      <c r="H8" s="42" t="inlineStr"/>
      <c r="I8" s="42" t="inlineStr"/>
    </row>
    <row r="9" ht="20" customHeight="1">
      <c r="A9" s="41" t="n">
        <v>5</v>
      </c>
      <c r="B9" s="42" t="inlineStr">
        <is>
          <t>Concentrix India</t>
        </is>
      </c>
      <c r="C9" s="41" t="inlineStr">
        <is>
          <t>Lucknow</t>
        </is>
      </c>
      <c r="D9" s="42" t="inlineStr">
        <is>
          <t>Amit Verma</t>
        </is>
      </c>
      <c r="E9" s="41" t="inlineStr">
        <is>
          <t>+91-9812345678</t>
        </is>
      </c>
      <c r="F9" s="43" t="n">
        <v>176000</v>
      </c>
      <c r="G9" s="41" t="inlineStr">
        <is>
          <t>Not Called</t>
        </is>
      </c>
      <c r="H9" s="42" t="inlineStr"/>
      <c r="I9" s="42" t="inlineStr"/>
    </row>
    <row r="10" ht="20" customHeight="1">
      <c r="A10" s="41" t="n">
        <v>6</v>
      </c>
      <c r="B10" s="42" t="inlineStr">
        <is>
          <t>Firstsource Solutions</t>
        </is>
      </c>
      <c r="C10" s="41" t="inlineStr">
        <is>
          <t>Jaipur</t>
        </is>
      </c>
      <c r="D10" s="42" t="inlineStr">
        <is>
          <t>Meena Patel</t>
        </is>
      </c>
      <c r="E10" s="41" t="inlineStr">
        <is>
          <t>+91-9767890123</t>
        </is>
      </c>
      <c r="F10" s="43" t="n">
        <v>192500</v>
      </c>
      <c r="G10" s="41" t="inlineStr">
        <is>
          <t>Not Called</t>
        </is>
      </c>
      <c r="H10" s="42" t="inlineStr"/>
      <c r="I10" s="42" t="inlineStr"/>
    </row>
    <row r="11" ht="20" customHeight="1">
      <c r="A11" s="41" t="n">
        <v>7</v>
      </c>
      <c r="B11" s="42" t="inlineStr">
        <is>
          <t>Mphasis BPO</t>
        </is>
      </c>
      <c r="C11" s="41" t="inlineStr">
        <is>
          <t>Kanpur</t>
        </is>
      </c>
      <c r="D11" s="42" t="inlineStr">
        <is>
          <t>Deepak Kumar</t>
        </is>
      </c>
      <c r="E11" s="41" t="inlineStr">
        <is>
          <t>+91-9790123456</t>
        </is>
      </c>
      <c r="F11" s="43" t="n">
        <v>110000</v>
      </c>
      <c r="G11" s="41" t="inlineStr">
        <is>
          <t>Not Called</t>
        </is>
      </c>
      <c r="H11" s="42" t="inlineStr"/>
      <c r="I11" s="42" t="inlineStr"/>
    </row>
    <row r="12" ht="20" customHeight="1">
      <c r="A12" s="41" t="n">
        <v>8</v>
      </c>
      <c r="B12" s="42" t="inlineStr">
        <is>
          <t>IndiaMart SME</t>
        </is>
      </c>
      <c r="C12" s="41" t="inlineStr">
        <is>
          <t>Noida</t>
        </is>
      </c>
      <c r="D12" s="42" t="inlineStr">
        <is>
          <t>Ritika Singh</t>
        </is>
      </c>
      <c r="E12" s="41" t="inlineStr">
        <is>
          <t>+91-9344567890</t>
        </is>
      </c>
      <c r="F12" s="43" t="n">
        <v>132000</v>
      </c>
      <c r="G12" s="41" t="inlineStr">
        <is>
          <t>Not Called</t>
        </is>
      </c>
      <c r="H12" s="42" t="inlineStr"/>
      <c r="I12" s="42" t="inlineStr"/>
    </row>
    <row r="13" ht="20" customHeight="1">
      <c r="A13" s="41" t="n">
        <v>9</v>
      </c>
      <c r="B13" s="42" t="inlineStr">
        <is>
          <t>Taskus India</t>
        </is>
      </c>
      <c r="C13" s="41" t="inlineStr">
        <is>
          <t>Jaipur</t>
        </is>
      </c>
      <c r="D13" s="42" t="inlineStr">
        <is>
          <t>Saurabh Kasera</t>
        </is>
      </c>
      <c r="E13" s="41" t="inlineStr">
        <is>
          <t>+91-9377890123</t>
        </is>
      </c>
      <c r="F13" s="43" t="n">
        <v>121000</v>
      </c>
      <c r="G13" s="41" t="inlineStr">
        <is>
          <t>Not Called</t>
        </is>
      </c>
      <c r="H13" s="42" t="inlineStr"/>
      <c r="I13" s="42" t="inlineStr"/>
    </row>
    <row r="14" ht="20" customHeight="1">
      <c r="A14" s="41" t="n">
        <v>10</v>
      </c>
      <c r="B14" s="42" t="inlineStr">
        <is>
          <t>Narayana Hospital</t>
        </is>
      </c>
      <c r="C14" s="41" t="inlineStr">
        <is>
          <t>Jaipur</t>
        </is>
      </c>
      <c r="D14" s="42" t="inlineStr">
        <is>
          <t>Ankita Sharma</t>
        </is>
      </c>
      <c r="E14" s="41" t="inlineStr">
        <is>
          <t>+91-9400123456</t>
        </is>
      </c>
      <c r="F14" s="43" t="n">
        <v>110000</v>
      </c>
      <c r="G14" s="41" t="inlineStr">
        <is>
          <t>Not Called</t>
        </is>
      </c>
      <c r="H14" s="42" t="inlineStr"/>
      <c r="I14" s="42" t="inlineStr"/>
    </row>
    <row r="15" ht="20" customHeight="1">
      <c r="A15" s="41" t="n">
        <v>11</v>
      </c>
      <c r="B15" s="42" t="inlineStr">
        <is>
          <t>V-Mart Retail</t>
        </is>
      </c>
      <c r="C15" s="41" t="inlineStr">
        <is>
          <t>Lucknow</t>
        </is>
      </c>
      <c r="D15" s="42" t="inlineStr">
        <is>
          <t>Navin Gupta</t>
        </is>
      </c>
      <c r="E15" s="41" t="inlineStr">
        <is>
          <t>+91-9513456789</t>
        </is>
      </c>
      <c r="F15" s="43" t="n">
        <v>100000</v>
      </c>
      <c r="G15" s="41" t="inlineStr">
        <is>
          <t>Not Called</t>
        </is>
      </c>
      <c r="H15" s="42" t="inlineStr"/>
      <c r="I15" s="42" t="inlineStr"/>
    </row>
    <row r="16" ht="20" customHeight="1">
      <c r="A16" s="41" t="n">
        <v>12</v>
      </c>
      <c r="B16" s="42" t="inlineStr">
        <is>
          <t>EXL Service</t>
        </is>
      </c>
      <c r="C16" s="41" t="inlineStr">
        <is>
          <t>Noida</t>
        </is>
      </c>
      <c r="D16" s="42" t="inlineStr">
        <is>
          <t>Rahul Gupta</t>
        </is>
      </c>
      <c r="E16" s="41" t="inlineStr">
        <is>
          <t>+91-9934567890</t>
        </is>
      </c>
      <c r="F16" s="43" t="n">
        <v>72000</v>
      </c>
      <c r="G16" s="41" t="inlineStr">
        <is>
          <t>Not Called</t>
        </is>
      </c>
      <c r="H16" s="42" t="inlineStr"/>
      <c r="I16" s="42" t="inlineStr"/>
    </row>
    <row r="17" ht="20" customHeight="1">
      <c r="A17" s="41" t="n">
        <v>13</v>
      </c>
      <c r="B17" s="42" t="inlineStr">
        <is>
          <t>Fortis Hospital</t>
        </is>
      </c>
      <c r="C17" s="41" t="inlineStr">
        <is>
          <t>Noida</t>
        </is>
      </c>
      <c r="D17" s="42" t="inlineStr">
        <is>
          <t>Sunita Bhatt</t>
        </is>
      </c>
      <c r="E17" s="41" t="inlineStr">
        <is>
          <t>+91-9455678901</t>
        </is>
      </c>
      <c r="F17" s="43" t="n">
        <v>88000</v>
      </c>
      <c r="G17" s="41" t="inlineStr">
        <is>
          <t>Not Called</t>
        </is>
      </c>
      <c r="H17" s="42" t="inlineStr"/>
      <c r="I17" s="42" t="inlineStr"/>
    </row>
    <row r="18" ht="20" customHeight="1">
      <c r="A18" s="41" t="n">
        <v>14</v>
      </c>
      <c r="B18" s="42" t="inlineStr">
        <is>
          <t>Shiprocket</t>
        </is>
      </c>
      <c r="C18" s="41" t="inlineStr">
        <is>
          <t>Noida</t>
        </is>
      </c>
      <c r="D18" s="42" t="inlineStr">
        <is>
          <t>Gaurav Ahluwalia</t>
        </is>
      </c>
      <c r="E18" s="41" t="inlineStr">
        <is>
          <t>+91-9333456789</t>
        </is>
      </c>
      <c r="F18" s="43" t="n">
        <v>88000</v>
      </c>
      <c r="G18" s="41" t="inlineStr">
        <is>
          <t>Not Called</t>
        </is>
      </c>
      <c r="H18" s="42" t="inlineStr"/>
      <c r="I18" s="42" t="inlineStr"/>
    </row>
    <row r="19" ht="20" customHeight="1">
      <c r="A19" s="41" t="n">
        <v>15</v>
      </c>
      <c r="B19" s="42" t="inlineStr">
        <is>
          <t>WNS Global</t>
        </is>
      </c>
      <c r="C19" s="41" t="inlineStr">
        <is>
          <t>Noida</t>
        </is>
      </c>
      <c r="D19" s="42" t="inlineStr">
        <is>
          <t>Sanjay Mishra</t>
        </is>
      </c>
      <c r="E19" s="41" t="inlineStr">
        <is>
          <t>+91-9856789012</t>
        </is>
      </c>
      <c r="F19" s="43" t="n">
        <v>48000</v>
      </c>
      <c r="G19" s="41" t="inlineStr">
        <is>
          <t>Not Called</t>
        </is>
      </c>
      <c r="H19" s="42" t="inlineStr"/>
      <c r="I19" s="42" t="inlineStr"/>
    </row>
    <row r="21" ht="22" customHeight="1">
      <c r="A21" s="2" t="inlineStr">
        <is>
          <t>📱  CANDIDATE ACTIVATION — WhatsApp Blast Tracker</t>
        </is>
      </c>
      <c r="B21" s="174" t="n"/>
      <c r="C21" s="174" t="n"/>
      <c r="D21" s="174" t="n"/>
      <c r="E21" s="174" t="n"/>
      <c r="F21" s="174" t="n"/>
      <c r="G21" s="174" t="n"/>
      <c r="H21" s="174" t="n"/>
      <c r="I21" s="175" t="n"/>
    </row>
    <row r="22" ht="24" customHeight="1">
      <c r="A22" s="15" t="inlineStr">
        <is>
          <t>#</t>
        </is>
      </c>
      <c r="B22" s="15" t="inlineStr">
        <is>
          <t>Name</t>
        </is>
      </c>
      <c r="C22" s="15" t="inlineStr">
        <is>
          <t>City</t>
        </is>
      </c>
      <c r="D22" s="15" t="inlineStr">
        <is>
          <t>Phone</t>
        </is>
      </c>
      <c r="E22" s="15" t="inlineStr">
        <is>
          <t>Comm</t>
        </is>
      </c>
      <c r="F22" s="15" t="inlineStr">
        <is>
          <t>English</t>
        </is>
      </c>
      <c r="G22" s="15" t="inlineStr">
        <is>
          <t>Shift</t>
        </is>
      </c>
      <c r="H22" s="15" t="inlineStr">
        <is>
          <t>Salary</t>
        </is>
      </c>
      <c r="I22" s="15" t="inlineStr">
        <is>
          <t>Status</t>
        </is>
      </c>
      <c r="J22" s="15" t="inlineStr">
        <is>
          <t>Response</t>
        </is>
      </c>
    </row>
    <row r="23" ht="18" customHeight="1">
      <c r="A23" s="41" t="n">
        <v>1</v>
      </c>
      <c r="B23" s="44" t="inlineStr">
        <is>
          <t>Priya Verma</t>
        </is>
      </c>
      <c r="C23" s="41" t="inlineStr">
        <is>
          <t>Lucknow</t>
        </is>
      </c>
      <c r="D23" s="41" t="inlineStr">
        <is>
          <t>+91-9821001002</t>
        </is>
      </c>
      <c r="E23" s="45" t="n">
        <v>4</v>
      </c>
      <c r="F23" s="41" t="inlineStr">
        <is>
          <t>Fluent</t>
        </is>
      </c>
      <c r="G23" s="41" t="inlineStr">
        <is>
          <t>Day</t>
        </is>
      </c>
      <c r="H23" s="46" t="n">
        <v>24000</v>
      </c>
      <c r="I23" s="41" t="inlineStr">
        <is>
          <t>Not Contacted</t>
        </is>
      </c>
      <c r="J23" s="42" t="inlineStr"/>
    </row>
    <row r="24" ht="18" customHeight="1">
      <c r="A24" s="41" t="n">
        <v>2</v>
      </c>
      <c r="B24" s="44" t="inlineStr">
        <is>
          <t>Rohit Gupta</t>
        </is>
      </c>
      <c r="C24" s="41" t="inlineStr">
        <is>
          <t>Lucknow</t>
        </is>
      </c>
      <c r="D24" s="41" t="inlineStr">
        <is>
          <t>+91-9821001003</t>
        </is>
      </c>
      <c r="E24" s="47" t="n">
        <v>3</v>
      </c>
      <c r="F24" s="41" t="inlineStr">
        <is>
          <t>Intermediate</t>
        </is>
      </c>
      <c r="G24" s="41" t="inlineStr">
        <is>
          <t>Morning</t>
        </is>
      </c>
      <c r="H24" s="46" t="n">
        <v>13000</v>
      </c>
      <c r="I24" s="41" t="inlineStr">
        <is>
          <t>Not Contacted</t>
        </is>
      </c>
      <c r="J24" s="42" t="inlineStr"/>
    </row>
    <row r="25" ht="18" customHeight="1">
      <c r="A25" s="41" t="n">
        <v>3</v>
      </c>
      <c r="B25" s="44" t="inlineStr">
        <is>
          <t>Megha Tiwari</t>
        </is>
      </c>
      <c r="C25" s="41" t="inlineStr">
        <is>
          <t>Kanpur</t>
        </is>
      </c>
      <c r="D25" s="41" t="inlineStr">
        <is>
          <t>+91-9821001038</t>
        </is>
      </c>
      <c r="E25" s="45" t="n">
        <v>4</v>
      </c>
      <c r="F25" s="41" t="inlineStr">
        <is>
          <t>Fluent</t>
        </is>
      </c>
      <c r="G25" s="41" t="inlineStr">
        <is>
          <t>Day</t>
        </is>
      </c>
      <c r="H25" s="46" t="n">
        <v>32000</v>
      </c>
      <c r="I25" s="41" t="inlineStr">
        <is>
          <t>Not Contacted</t>
        </is>
      </c>
      <c r="J25" s="42" t="inlineStr"/>
    </row>
    <row r="26" ht="18" customHeight="1">
      <c r="A26" s="41" t="n">
        <v>4</v>
      </c>
      <c r="B26" s="44" t="inlineStr">
        <is>
          <t>Shailendra Verma</t>
        </is>
      </c>
      <c r="C26" s="41" t="inlineStr">
        <is>
          <t>Indore</t>
        </is>
      </c>
      <c r="D26" s="41" t="inlineStr">
        <is>
          <t>+91-9821001048</t>
        </is>
      </c>
      <c r="E26" s="47" t="n">
        <v>3</v>
      </c>
      <c r="F26" s="41" t="inlineStr">
        <is>
          <t>Intermediate</t>
        </is>
      </c>
      <c r="G26" s="41" t="inlineStr">
        <is>
          <t>Afternoon</t>
        </is>
      </c>
      <c r="H26" s="46" t="n">
        <v>18000</v>
      </c>
      <c r="I26" s="41" t="inlineStr">
        <is>
          <t>Not Contacted</t>
        </is>
      </c>
      <c r="J26" s="42" t="inlineStr"/>
    </row>
    <row r="27" ht="18" customHeight="1">
      <c r="A27" s="41" t="n">
        <v>5</v>
      </c>
      <c r="B27" s="44" t="inlineStr">
        <is>
          <t>Pradeep Joshi</t>
        </is>
      </c>
      <c r="C27" s="41" t="inlineStr">
        <is>
          <t>Jaipur</t>
        </is>
      </c>
      <c r="D27" s="41" t="inlineStr">
        <is>
          <t>+91-9821001077</t>
        </is>
      </c>
      <c r="E27" s="47" t="n">
        <v>3</v>
      </c>
      <c r="F27" s="41" t="inlineStr">
        <is>
          <t>Intermediate</t>
        </is>
      </c>
      <c r="G27" s="41" t="inlineStr">
        <is>
          <t>Afternoon</t>
        </is>
      </c>
      <c r="H27" s="46" t="n">
        <v>14000</v>
      </c>
      <c r="I27" s="41" t="inlineStr">
        <is>
          <t>Not Contacted</t>
        </is>
      </c>
      <c r="J27" s="42" t="inlineStr"/>
    </row>
    <row r="28" ht="18" customHeight="1">
      <c r="A28" s="41" t="n">
        <v>6</v>
      </c>
      <c r="B28" s="44" t="inlineStr">
        <is>
          <t>Monika Verma</t>
        </is>
      </c>
      <c r="C28" s="41" t="inlineStr">
        <is>
          <t>Indore</t>
        </is>
      </c>
      <c r="D28" s="41" t="inlineStr">
        <is>
          <t>+91-9821001026</t>
        </is>
      </c>
      <c r="E28" s="47" t="n">
        <v>3</v>
      </c>
      <c r="F28" s="41" t="inlineStr">
        <is>
          <t>Intermediate</t>
        </is>
      </c>
      <c r="G28" s="41" t="inlineStr">
        <is>
          <t>Day</t>
        </is>
      </c>
      <c r="H28" s="46" t="n">
        <v>16000</v>
      </c>
      <c r="I28" s="41" t="inlineStr">
        <is>
          <t>Not Contacted</t>
        </is>
      </c>
      <c r="J28" s="42" t="inlineStr"/>
    </row>
    <row r="29" ht="18" customHeight="1">
      <c r="A29" s="41" t="n">
        <v>7</v>
      </c>
      <c r="B29" s="44" t="inlineStr">
        <is>
          <t>Riya Srivastava</t>
        </is>
      </c>
      <c r="C29" s="41" t="inlineStr">
        <is>
          <t>Lucknow</t>
        </is>
      </c>
      <c r="D29" s="41" t="inlineStr">
        <is>
          <t>+91-9821001036</t>
        </is>
      </c>
      <c r="E29" s="47" t="n">
        <v>3</v>
      </c>
      <c r="F29" s="41" t="inlineStr">
        <is>
          <t>Intermediate</t>
        </is>
      </c>
      <c r="G29" s="41" t="inlineStr">
        <is>
          <t>Rotational</t>
        </is>
      </c>
      <c r="H29" s="46" t="n">
        <v>20000</v>
      </c>
      <c r="I29" s="41" t="inlineStr">
        <is>
          <t>Not Contacted</t>
        </is>
      </c>
      <c r="J29" s="42" t="inlineStr"/>
    </row>
    <row r="30" ht="18" customHeight="1">
      <c r="A30" s="41" t="n">
        <v>8</v>
      </c>
      <c r="B30" s="44" t="inlineStr">
        <is>
          <t>Ritika Bajpai</t>
        </is>
      </c>
      <c r="C30" s="41" t="inlineStr">
        <is>
          <t>Kanpur</t>
        </is>
      </c>
      <c r="D30" s="41" t="inlineStr">
        <is>
          <t>+91-9821001061</t>
        </is>
      </c>
      <c r="E30" s="47" t="n">
        <v>3</v>
      </c>
      <c r="F30" s="41" t="inlineStr">
        <is>
          <t>Intermediate</t>
        </is>
      </c>
      <c r="G30" s="41" t="inlineStr">
        <is>
          <t>Rotational</t>
        </is>
      </c>
      <c r="H30" s="46" t="n">
        <v>22000</v>
      </c>
      <c r="I30" s="41" t="inlineStr">
        <is>
          <t>Not Contacted</t>
        </is>
      </c>
      <c r="J30" s="42" t="inlineStr"/>
    </row>
    <row r="31" ht="18" customHeight="1">
      <c r="A31" s="41" t="n">
        <v>9</v>
      </c>
      <c r="B31" s="44" t="inlineStr">
        <is>
          <t>Satish Yadav</t>
        </is>
      </c>
      <c r="C31" s="41" t="inlineStr">
        <is>
          <t>Noida</t>
        </is>
      </c>
      <c r="D31" s="41" t="inlineStr">
        <is>
          <t>+91-9821001099</t>
        </is>
      </c>
      <c r="E31" s="48" t="n">
        <v>5</v>
      </c>
      <c r="F31" s="41" t="inlineStr">
        <is>
          <t>Proficient</t>
        </is>
      </c>
      <c r="G31" s="41" t="inlineStr">
        <is>
          <t>Day</t>
        </is>
      </c>
      <c r="H31" s="46" t="n">
        <v>65000</v>
      </c>
      <c r="I31" s="41" t="inlineStr">
        <is>
          <t>Not Contacted</t>
        </is>
      </c>
      <c r="J31" s="42" t="inlineStr"/>
    </row>
    <row r="32" ht="18" customHeight="1">
      <c r="A32" s="41" t="n">
        <v>10</v>
      </c>
      <c r="B32" s="44" t="inlineStr">
        <is>
          <t>Aarav Sharma</t>
        </is>
      </c>
      <c r="C32" s="41" t="inlineStr">
        <is>
          <t>Lucknow</t>
        </is>
      </c>
      <c r="D32" s="41" t="inlineStr">
        <is>
          <t>+91-9821001001</t>
        </is>
      </c>
      <c r="E32" s="47" t="n">
        <v>3</v>
      </c>
      <c r="F32" s="41" t="inlineStr">
        <is>
          <t>Intermediate</t>
        </is>
      </c>
      <c r="G32" s="41" t="inlineStr">
        <is>
          <t>Rotational</t>
        </is>
      </c>
      <c r="H32" s="46" t="n">
        <v>18000</v>
      </c>
      <c r="I32" s="41" t="inlineStr">
        <is>
          <t>Not Contacted</t>
        </is>
      </c>
      <c r="J32" s="42" t="inlineStr"/>
    </row>
  </sheetData>
  <mergeCells count="3">
    <mergeCell ref="A1:I1"/>
    <mergeCell ref="A21:I2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40" customHeight="1">
      <c r="A1" s="49" t="inlineStr">
        <is>
          <t>💰  WEEKLY REVENUE TRACKER — CEO-Level Visibility</t>
        </is>
      </c>
    </row>
    <row r="3" ht="22" customHeight="1">
      <c r="A3" s="2" t="inlineStr">
        <is>
          <t>📐  REVENUE FORMULA — Clarity on What You Need to Hit</t>
        </is>
      </c>
      <c r="B3" s="174" t="n"/>
      <c r="C3" s="174" t="n"/>
      <c r="D3" s="174" t="n"/>
      <c r="E3" s="174" t="n"/>
      <c r="F3" s="174" t="n"/>
      <c r="G3" s="175" t="n"/>
    </row>
    <row r="4" ht="24" customHeight="1">
      <c r="A4" s="15" t="inlineStr">
        <is>
          <t>Metric</t>
        </is>
      </c>
      <c r="B4" s="15" t="inlineStr">
        <is>
          <t>Value</t>
        </is>
      </c>
      <c r="C4" s="15" t="inlineStr">
        <is>
          <t>Notes</t>
        </is>
      </c>
    </row>
    <row r="5" ht="22" customHeight="1">
      <c r="A5" s="26" t="inlineStr">
        <is>
          <t>Monthly Revenue Target (₹)</t>
        </is>
      </c>
      <c r="B5" s="50" t="inlineStr">
        <is>
          <t>300000</t>
        </is>
      </c>
      <c r="C5" s="26" t="inlineStr">
        <is>
          <t>Your goal this month</t>
        </is>
      </c>
    </row>
    <row r="6" ht="22" customHeight="1">
      <c r="A6" s="32" t="inlineStr">
        <is>
          <t>Avg Fee Per Placement (₹)</t>
        </is>
      </c>
      <c r="B6" s="51" t="inlineStr">
        <is>
          <t>8000</t>
        </is>
      </c>
      <c r="C6" s="32" t="inlineStr">
        <is>
          <t>Standard per-hire fee</t>
        </is>
      </c>
    </row>
    <row r="7" ht="22" customHeight="1">
      <c r="A7" s="52" t="inlineStr">
        <is>
          <t>Required Placements This Month</t>
        </is>
      </c>
      <c r="B7" s="53">
        <f>B5/B6</f>
        <v/>
      </c>
      <c r="C7" s="52" t="inlineStr">
        <is>
          <t>Auto-calculated</t>
        </is>
      </c>
    </row>
    <row r="8" ht="22" customHeight="1">
      <c r="A8" s="54" t="inlineStr">
        <is>
          <t>Placements Done So Far</t>
        </is>
      </c>
      <c r="B8" s="38" t="inlineStr">
        <is>
          <t>0</t>
        </is>
      </c>
      <c r="C8" s="54" t="inlineStr">
        <is>
          <t>Update daily</t>
        </is>
      </c>
    </row>
    <row r="9" ht="22" customHeight="1">
      <c r="A9" s="28" t="inlineStr">
        <is>
          <t>Placements Remaining</t>
        </is>
      </c>
      <c r="B9" s="55">
        <f>B7-B8</f>
        <v/>
      </c>
      <c r="C9" s="28" t="inlineStr">
        <is>
          <t>How many left to target</t>
        </is>
      </c>
    </row>
    <row r="10" ht="22" customHeight="1">
      <c r="A10" s="32" t="inlineStr">
        <is>
          <t>Days Left in Month</t>
        </is>
      </c>
      <c r="B10" s="33" t="inlineStr">
        <is>
          <t>30</t>
        </is>
      </c>
      <c r="C10" s="32" t="inlineStr">
        <is>
          <t>Update manually</t>
        </is>
      </c>
    </row>
    <row r="11" ht="22" customHeight="1">
      <c r="A11" s="30" t="inlineStr">
        <is>
          <t>Placements Needed Per Day</t>
        </is>
      </c>
      <c r="B11" s="56">
        <f>IF(B10&gt;0,B9/B10,0)</f>
        <v/>
      </c>
      <c r="C11" s="30" t="inlineStr">
        <is>
          <t>Minimum daily pace</t>
        </is>
      </c>
    </row>
    <row r="12" ht="22" customHeight="1">
      <c r="A12" s="26" t="inlineStr">
        <is>
          <t>Revenue Per Day Needed (₹)</t>
        </is>
      </c>
      <c r="B12" s="57">
        <f>B11*B6</f>
        <v/>
      </c>
      <c r="C12" s="26" t="inlineStr">
        <is>
          <t>Daily revenue velocity needed</t>
        </is>
      </c>
    </row>
    <row r="14" ht="22" customHeight="1">
      <c r="A14" s="2" t="inlineStr">
        <is>
          <t>🔄  CONVERSION FUNNEL — Where Revenue Leaks</t>
        </is>
      </c>
      <c r="B14" s="174" t="n"/>
      <c r="C14" s="174" t="n"/>
      <c r="D14" s="174" t="n"/>
      <c r="E14" s="174" t="n"/>
      <c r="F14" s="174" t="n"/>
      <c r="G14" s="175" t="n"/>
    </row>
    <row r="15" ht="24" customHeight="1">
      <c r="A15" s="58" t="inlineStr">
        <is>
          <t>STAGE</t>
        </is>
      </c>
      <c r="B15" s="59" t="inlineStr">
        <is>
          <t>Week 1</t>
        </is>
      </c>
      <c r="C15" s="59" t="inlineStr">
        <is>
          <t>Week 2</t>
        </is>
      </c>
      <c r="D15" s="59" t="inlineStr">
        <is>
          <t>Week 3</t>
        </is>
      </c>
      <c r="E15" s="59" t="inlineStr">
        <is>
          <t>Week 4</t>
        </is>
      </c>
      <c r="F15" s="60" t="inlineStr">
        <is>
          <t>MONTH TOTAL</t>
        </is>
      </c>
      <c r="G15" s="60" t="inlineStr">
        <is>
          <t>Conv Rate</t>
        </is>
      </c>
      <c r="H15" s="60" t="inlineStr">
        <is>
          <t>Benchmark</t>
        </is>
      </c>
    </row>
    <row r="16" ht="22" customHeight="1">
      <c r="A16" s="61" t="inlineStr">
        <is>
          <t>📞 Calls Made</t>
        </is>
      </c>
      <c r="B16" s="62" t="n">
        <v>0</v>
      </c>
      <c r="C16" s="62" t="n">
        <v>0</v>
      </c>
      <c r="D16" s="62" t="n">
        <v>0</v>
      </c>
      <c r="E16" s="62" t="n">
        <v>0</v>
      </c>
      <c r="F16" s="63" t="n">
        <v>0</v>
      </c>
      <c r="G16" s="64" t="inlineStr">
        <is>
          <t>—</t>
        </is>
      </c>
      <c r="H16" s="65" t="inlineStr">
        <is>
          <t>—</t>
        </is>
      </c>
    </row>
    <row r="17" ht="22" customHeight="1">
      <c r="A17" s="26" t="inlineStr">
        <is>
          <t>✅ Interested</t>
        </is>
      </c>
      <c r="B17" s="66" t="n">
        <v>0</v>
      </c>
      <c r="C17" s="66" t="n">
        <v>0</v>
      </c>
      <c r="D17" s="66" t="n">
        <v>0</v>
      </c>
      <c r="E17" s="66" t="n">
        <v>0</v>
      </c>
      <c r="F17" s="67" t="n">
        <v>0</v>
      </c>
      <c r="G17" s="68">
        <f>B17/B16</f>
        <v/>
      </c>
      <c r="H17" s="191" t="inlineStr">
        <is>
          <t>30%</t>
        </is>
      </c>
    </row>
    <row r="18" ht="22" customHeight="1">
      <c r="A18" s="52" t="inlineStr">
        <is>
          <t>📄 Profiles Sent</t>
        </is>
      </c>
      <c r="B18" s="70" t="n">
        <v>0</v>
      </c>
      <c r="C18" s="70" t="n">
        <v>0</v>
      </c>
      <c r="D18" s="70" t="n">
        <v>0</v>
      </c>
      <c r="E18" s="70" t="n">
        <v>0</v>
      </c>
      <c r="F18" s="53" t="n">
        <v>0</v>
      </c>
      <c r="G18" s="71">
        <f>B18/B17</f>
        <v/>
      </c>
      <c r="H18" s="72" t="inlineStr">
        <is>
          <t>70%</t>
        </is>
      </c>
    </row>
    <row r="19" ht="22" customHeight="1">
      <c r="A19" s="73" t="inlineStr">
        <is>
          <t>🗓 Interviews</t>
        </is>
      </c>
      <c r="B19" s="74" t="n">
        <v>0</v>
      </c>
      <c r="C19" s="74" t="n">
        <v>0</v>
      </c>
      <c r="D19" s="74" t="n">
        <v>0</v>
      </c>
      <c r="E19" s="74" t="n">
        <v>0</v>
      </c>
      <c r="F19" s="75" t="n">
        <v>0</v>
      </c>
      <c r="G19" s="76">
        <f>B19/B18</f>
        <v/>
      </c>
      <c r="H19" s="77" t="inlineStr">
        <is>
          <t>50%</t>
        </is>
      </c>
    </row>
    <row r="20" ht="22" customHeight="1">
      <c r="A20" s="78" t="inlineStr">
        <is>
          <t>🤝 Offers Made</t>
        </is>
      </c>
      <c r="B20" s="79" t="n">
        <v>0</v>
      </c>
      <c r="C20" s="79" t="n">
        <v>0</v>
      </c>
      <c r="D20" s="79" t="n">
        <v>0</v>
      </c>
      <c r="E20" s="79" t="n">
        <v>0</v>
      </c>
      <c r="F20" s="80" t="n">
        <v>0</v>
      </c>
      <c r="G20" s="81">
        <f>B20/B19</f>
        <v/>
      </c>
      <c r="H20" s="82" t="inlineStr">
        <is>
          <t>60%</t>
        </is>
      </c>
    </row>
    <row r="21" ht="22" customHeight="1">
      <c r="A21" s="83" t="inlineStr">
        <is>
          <t>✅ Joinings (Revenue)</t>
        </is>
      </c>
      <c r="B21" s="48" t="n">
        <v>0</v>
      </c>
      <c r="C21" s="48" t="n">
        <v>0</v>
      </c>
      <c r="D21" s="48" t="n">
        <v>0</v>
      </c>
      <c r="E21" s="48" t="n">
        <v>0</v>
      </c>
      <c r="F21" s="84" t="n">
        <v>0</v>
      </c>
      <c r="G21" s="85">
        <f>B21/B20</f>
        <v/>
      </c>
      <c r="H21" s="86" t="inlineStr">
        <is>
          <t>70%</t>
        </is>
      </c>
    </row>
    <row r="23" ht="22" customHeight="1">
      <c r="A23" s="2" t="inlineStr">
        <is>
          <t>💸  WEEKLY COST vs REVENUE (Profit Visibility)</t>
        </is>
      </c>
      <c r="B23" s="174" t="n"/>
      <c r="C23" s="174" t="n"/>
      <c r="D23" s="174" t="n"/>
      <c r="E23" s="174" t="n"/>
      <c r="F23" s="174" t="n"/>
      <c r="G23" s="175" t="n"/>
    </row>
    <row r="24">
      <c r="A24" s="15" t="inlineStr">
        <is>
          <t>Cost Item</t>
        </is>
      </c>
      <c r="B24" s="15" t="inlineStr">
        <is>
          <t>Wk1</t>
        </is>
      </c>
      <c r="C24" s="15" t="inlineStr">
        <is>
          <t>Wk2</t>
        </is>
      </c>
      <c r="D24" s="15" t="inlineStr">
        <is>
          <t>Wk3</t>
        </is>
      </c>
      <c r="E24" s="15" t="inlineStr">
        <is>
          <t>Wk4</t>
        </is>
      </c>
      <c r="F24" s="15" t="inlineStr">
        <is>
          <t>Monthly Total</t>
        </is>
      </c>
      <c r="G24" s="15" t="inlineStr">
        <is>
          <t>% of Revenue</t>
        </is>
      </c>
    </row>
    <row r="25" ht="22" customHeight="1">
      <c r="A25" s="23" t="inlineStr">
        <is>
          <t>Ad Spend (₹)</t>
        </is>
      </c>
      <c r="B25" s="24" t="n">
        <v>0</v>
      </c>
      <c r="C25" s="24" t="n">
        <v>0</v>
      </c>
      <c r="D25" s="24" t="n">
        <v>0</v>
      </c>
      <c r="E25" s="24" t="n">
        <v>0</v>
      </c>
      <c r="F25" s="87">
        <f>SUM(B25:E25)</f>
        <v/>
      </c>
      <c r="G25" s="88">
        <f>IF(F5&gt;0,F25/F5,0)</f>
        <v/>
      </c>
    </row>
    <row r="26" ht="22" customHeight="1">
      <c r="A26" s="23" t="inlineStr">
        <is>
          <t>Recruiter Cost (₹)</t>
        </is>
      </c>
      <c r="B26" s="24" t="n">
        <v>6250</v>
      </c>
      <c r="C26" s="24" t="n">
        <v>6250</v>
      </c>
      <c r="D26" s="24" t="n">
        <v>6250</v>
      </c>
      <c r="E26" s="24" t="n">
        <v>6250</v>
      </c>
      <c r="F26" s="87">
        <f>SUM(B26:E26)</f>
        <v/>
      </c>
      <c r="G26" s="88">
        <f>IF(F5&gt;0,F26/F5,0)</f>
        <v/>
      </c>
    </row>
    <row r="27" ht="22" customHeight="1">
      <c r="A27" s="23" t="inlineStr">
        <is>
          <t>Other Ops (₹)</t>
        </is>
      </c>
      <c r="B27" s="24" t="n">
        <v>0</v>
      </c>
      <c r="C27" s="24" t="n">
        <v>0</v>
      </c>
      <c r="D27" s="24" t="n">
        <v>0</v>
      </c>
      <c r="E27" s="24" t="n">
        <v>0</v>
      </c>
      <c r="F27" s="87">
        <f>SUM(B27:E27)</f>
        <v/>
      </c>
      <c r="G27" s="88">
        <f>IF(F5&gt;0,F27/F5,0)</f>
        <v/>
      </c>
    </row>
    <row r="28" ht="22" customHeight="1">
      <c r="A28" s="25" t="inlineStr">
        <is>
          <t>TOTAL COST</t>
        </is>
      </c>
      <c r="B28" s="19">
        <f>SUM(B26:B28)</f>
        <v/>
      </c>
      <c r="C28" s="19">
        <f>SUM(C26:C28)</f>
        <v/>
      </c>
      <c r="D28" s="19">
        <f>SUM(D26:D28)</f>
        <v/>
      </c>
      <c r="E28" s="19">
        <f>SUM(E26:E28)</f>
        <v/>
      </c>
      <c r="F28" s="19">
        <f>SUM(B28:E28)</f>
        <v/>
      </c>
      <c r="G28" s="89">
        <f>IF(F5&gt;0,F28/F5,0)</f>
        <v/>
      </c>
    </row>
  </sheetData>
  <mergeCells count="4">
    <mergeCell ref="A3:G3"/>
    <mergeCell ref="A14:G14"/>
    <mergeCell ref="A1:G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0" customWidth="1" min="4" max="4"/>
    <col width="18" customWidth="1" min="5" max="5"/>
    <col width="12" customWidth="1" min="6" max="6"/>
    <col width="18" customWidth="1" min="7" max="7"/>
    <col width="12" customWidth="1" min="8" max="8"/>
    <col width="14" customWidth="1" min="9" max="9"/>
    <col width="16" customWidth="1" min="10" max="10"/>
    <col width="14" customWidth="1" min="11" max="11"/>
    <col width="16" customWidth="1" min="12" max="12"/>
    <col width="12" customWidth="1" min="13" max="13"/>
    <col width="13" customWidth="1" min="14" max="14"/>
    <col width="13" customWidth="1" min="15" max="15"/>
    <col width="15" customWidth="1" min="16" max="16"/>
    <col width="10" customWidth="1" min="17" max="17"/>
    <col width="16" customWidth="1" min="18" max="18"/>
    <col width="28" customWidth="1" min="19" max="19"/>
  </cols>
  <sheetData>
    <row r="1" ht="22" customHeight="1">
      <c r="A1" s="176" t="inlineStr">
        <is>
          <t>🆕 5 NEW COLUMNS ADDED →</t>
        </is>
      </c>
      <c r="N1" s="178" t="inlineStr">
        <is>
          <t>✦ Follow-up Date = deals move only if you follow up</t>
        </is>
      </c>
      <c r="O1" s="179" t="inlineStr">
        <is>
          <t>✦ Lead Source</t>
        </is>
      </c>
      <c r="P1" s="180" t="inlineStr">
        <is>
          <t>✦ Deal Value = Roles × Fee</t>
        </is>
      </c>
      <c r="R1" s="181" t="inlineStr">
        <is>
          <t>✦ Partner = who delivers</t>
        </is>
      </c>
    </row>
    <row r="2" ht="18" customHeight="1">
      <c r="A2" s="90" t="inlineStr">
        <is>
          <t>🎯  PLACEMENT PIPELINE — Every Deal · Probability · Weighted Revenue · Cash Forecast</t>
        </is>
      </c>
    </row>
    <row r="3" ht="28" customHeight="1">
      <c r="A3" s="91" t="inlineStr">
        <is>
          <t>Update after EVERY interaction. This is your cash forecast engine.</t>
        </is>
      </c>
    </row>
    <row r="4" ht="20" customHeight="1">
      <c r="A4" s="15" t="inlineStr">
        <is>
          <t>#</t>
        </is>
      </c>
      <c r="B4" s="15" t="inlineStr">
        <is>
          <t>Candidate</t>
        </is>
      </c>
      <c r="C4" s="15" t="inlineStr">
        <is>
          <t>Employer</t>
        </is>
      </c>
      <c r="D4" s="15" t="inlineStr">
        <is>
          <t>City</t>
        </is>
      </c>
      <c r="E4" s="15" t="inlineStr">
        <is>
          <t>Role</t>
        </is>
      </c>
      <c r="F4" s="15" t="inlineStr">
        <is>
          <t>Salary (₹)</t>
        </is>
      </c>
      <c r="G4" s="15" t="inlineStr">
        <is>
          <t>Stage</t>
        </is>
      </c>
      <c r="H4" s="15" t="inlineStr">
        <is>
          <t>Probability %</t>
        </is>
      </c>
      <c r="I4" s="15" t="inlineStr">
        <is>
          <t>Fee/Placement (₹)</t>
        </is>
      </c>
      <c r="J4" s="182" t="inlineStr">
        <is>
          <t>Weighted Rev (₹)
(Deal × Prob%)</t>
        </is>
      </c>
      <c r="K4" s="15" t="inlineStr">
        <is>
          <t>Invoice Raised?</t>
        </is>
      </c>
      <c r="L4" s="15" t="inlineStr">
        <is>
          <t>Payment Status</t>
        </is>
      </c>
      <c r="M4" s="15" t="inlineStr">
        <is>
          <t>Date Shared</t>
        </is>
      </c>
      <c r="N4" s="15" t="inlineStr">
        <is>
          <t>Follow-up Date</t>
        </is>
      </c>
      <c r="O4" s="183" t="inlineStr">
        <is>
          <t>Lead Source</t>
        </is>
      </c>
      <c r="P4" s="184" t="inlineStr">
        <is>
          <t>Deal Value (₹)
(Roles × Fee)</t>
        </is>
      </c>
      <c r="Q4" s="59" t="inlineStr">
        <is>
          <t>Total Roles
in Deal</t>
        </is>
      </c>
      <c r="R4" s="185" t="inlineStr">
        <is>
          <t>Execution
Partner</t>
        </is>
      </c>
      <c r="S4" s="15" t="inlineStr">
        <is>
          <t>Next Action</t>
        </is>
      </c>
    </row>
    <row r="5" ht="20" customHeight="1">
      <c r="A5" s="47" t="n">
        <v>1</v>
      </c>
      <c r="B5" s="30" t="inlineStr">
        <is>
          <t>Priya Verma</t>
        </is>
      </c>
      <c r="C5" s="30" t="inlineStr">
        <is>
          <t>Concentrix India</t>
        </is>
      </c>
      <c r="D5" s="47" t="inlineStr">
        <is>
          <t>Lucknow</t>
        </is>
      </c>
      <c r="E5" s="47" t="inlineStr">
        <is>
          <t>Customer Support</t>
        </is>
      </c>
      <c r="F5" s="92" t="n">
        <v>24000</v>
      </c>
      <c r="G5" s="47" t="inlineStr">
        <is>
          <t>Profile Shared</t>
        </is>
      </c>
      <c r="H5" s="93" t="n">
        <v>30</v>
      </c>
      <c r="I5" s="94" t="n">
        <v>8000</v>
      </c>
      <c r="J5" s="186" t="n">
        <v>12000</v>
      </c>
      <c r="K5" s="47" t="inlineStr"/>
      <c r="L5" s="187" t="inlineStr">
        <is>
          <t>Not Invoiced</t>
        </is>
      </c>
      <c r="M5" s="47" t="inlineStr"/>
      <c r="N5" s="188" t="inlineStr">
        <is>
          <t>Mar 08</t>
        </is>
      </c>
      <c r="O5" s="189" t="inlineStr">
        <is>
          <t>Cold Call</t>
        </is>
      </c>
      <c r="P5" s="50" t="n">
        <v>40000</v>
      </c>
      <c r="Q5" s="190" t="n">
        <v>5</v>
      </c>
      <c r="R5" s="191" t="inlineStr">
        <is>
          <t>Internal</t>
        </is>
      </c>
      <c r="S5" s="192" t="inlineStr">
        <is>
          <t>Follow up HR today</t>
        </is>
      </c>
    </row>
    <row r="6" ht="20" customHeight="1">
      <c r="A6" s="96" t="n">
        <v>2</v>
      </c>
      <c r="B6" s="97" t="inlineStr">
        <is>
          <t>Rohit Gupta</t>
        </is>
      </c>
      <c r="C6" s="97" t="inlineStr">
        <is>
          <t>iEnergizer</t>
        </is>
      </c>
      <c r="D6" s="96" t="inlineStr">
        <is>
          <t>Lucknow</t>
        </is>
      </c>
      <c r="E6" s="96" t="inlineStr">
        <is>
          <t>Tele-caller</t>
        </is>
      </c>
      <c r="F6" s="98" t="n">
        <v>13000</v>
      </c>
      <c r="G6" s="96" t="inlineStr">
        <is>
          <t>Interview Scheduled</t>
        </is>
      </c>
      <c r="H6" s="99" t="n">
        <v>60</v>
      </c>
      <c r="I6" s="94" t="n">
        <v>8000</v>
      </c>
      <c r="J6" s="186" t="n">
        <v>14400</v>
      </c>
      <c r="K6" s="96" t="inlineStr"/>
      <c r="L6" s="187" t="inlineStr">
        <is>
          <t>Not Invoiced</t>
        </is>
      </c>
      <c r="M6" s="96" t="inlineStr"/>
      <c r="N6" s="193" t="inlineStr">
        <is>
          <t>Mar 07</t>
        </is>
      </c>
      <c r="O6" s="194" t="inlineStr">
        <is>
          <t>WhatsApp</t>
        </is>
      </c>
      <c r="P6" s="50" t="n">
        <v>24000</v>
      </c>
      <c r="Q6" s="190" t="n">
        <v>3</v>
      </c>
      <c r="R6" s="191" t="inlineStr">
        <is>
          <t>Internal</t>
        </is>
      </c>
      <c r="S6" s="195" t="inlineStr">
        <is>
          <t>Interview Mon 10AM — confirm</t>
        </is>
      </c>
    </row>
    <row r="7" ht="20" customHeight="1">
      <c r="A7" s="45" t="n">
        <v>3</v>
      </c>
      <c r="B7" s="54" t="inlineStr">
        <is>
          <t>Megha Tiwari</t>
        </is>
      </c>
      <c r="C7" s="54" t="inlineStr">
        <is>
          <t>Genpact</t>
        </is>
      </c>
      <c r="D7" s="45" t="inlineStr">
        <is>
          <t>Kanpur</t>
        </is>
      </c>
      <c r="E7" s="45" t="inlineStr">
        <is>
          <t>CRM Executive</t>
        </is>
      </c>
      <c r="F7" s="100" t="n">
        <v>32000</v>
      </c>
      <c r="G7" s="45" t="inlineStr">
        <is>
          <t>Offer Made</t>
        </is>
      </c>
      <c r="H7" s="101" t="n">
        <v>85</v>
      </c>
      <c r="I7" s="94" t="n">
        <v>8000</v>
      </c>
      <c r="J7" s="186" t="n">
        <v>54400</v>
      </c>
      <c r="K7" s="45" t="inlineStr"/>
      <c r="L7" s="196" t="inlineStr">
        <is>
          <t>Invoice Sent</t>
        </is>
      </c>
      <c r="M7" s="45" t="inlineStr"/>
      <c r="N7" s="197" t="inlineStr">
        <is>
          <t>Mar 07</t>
        </is>
      </c>
      <c r="O7" s="198" t="inlineStr">
        <is>
          <t>Referral</t>
        </is>
      </c>
      <c r="P7" s="50" t="n">
        <v>64000</v>
      </c>
      <c r="Q7" s="190" t="n">
        <v>8</v>
      </c>
      <c r="R7" s="191" t="inlineStr">
        <is>
          <t>Internal</t>
        </is>
      </c>
      <c r="S7" s="199" t="inlineStr">
        <is>
          <t>Push offer acceptance</t>
        </is>
      </c>
    </row>
    <row r="8" ht="20" customHeight="1">
      <c r="A8" s="41" t="n">
        <v>4</v>
      </c>
      <c r="B8" s="42" t="inlineStr">
        <is>
          <t>Shailendra Verma</t>
        </is>
      </c>
      <c r="C8" s="42" t="inlineStr">
        <is>
          <t>Teleperformance</t>
        </is>
      </c>
      <c r="D8" s="41" t="inlineStr">
        <is>
          <t>Indore</t>
        </is>
      </c>
      <c r="E8" s="41" t="inlineStr">
        <is>
          <t>Telecaller</t>
        </is>
      </c>
      <c r="F8" s="46" t="n">
        <v>18000</v>
      </c>
      <c r="G8" s="41" t="inlineStr">
        <is>
          <t>Not Shared</t>
        </is>
      </c>
      <c r="H8" s="102" t="n">
        <v>10</v>
      </c>
      <c r="I8" s="94" t="n">
        <v>8000</v>
      </c>
      <c r="J8" s="186" t="n">
        <v>3200</v>
      </c>
      <c r="K8" s="41" t="inlineStr"/>
      <c r="L8" s="187" t="inlineStr">
        <is>
          <t>Not Invoiced</t>
        </is>
      </c>
      <c r="M8" s="41" t="inlineStr"/>
      <c r="N8" s="200" t="inlineStr">
        <is>
          <t>Mar 09</t>
        </is>
      </c>
      <c r="O8" s="189" t="inlineStr">
        <is>
          <t>Database</t>
        </is>
      </c>
      <c r="P8" s="50" t="n">
        <v>32000</v>
      </c>
      <c r="Q8" s="190" t="n">
        <v>4</v>
      </c>
      <c r="R8" s="191" t="inlineStr">
        <is>
          <t>Internal</t>
        </is>
      </c>
      <c r="S8" s="201" t="inlineStr">
        <is>
          <t>Share profile this week</t>
        </is>
      </c>
    </row>
    <row r="9" ht="20" customHeight="1">
      <c r="A9" s="47" t="n">
        <v>5</v>
      </c>
      <c r="B9" s="30" t="inlineStr">
        <is>
          <t>Riya Srivastava</t>
        </is>
      </c>
      <c r="C9" s="30" t="inlineStr">
        <is>
          <t>WNS Global</t>
        </is>
      </c>
      <c r="D9" s="47" t="inlineStr">
        <is>
          <t>Lucknow</t>
        </is>
      </c>
      <c r="E9" s="47" t="inlineStr">
        <is>
          <t>Tech Support</t>
        </is>
      </c>
      <c r="F9" s="92" t="n">
        <v>20000</v>
      </c>
      <c r="G9" s="47" t="inlineStr">
        <is>
          <t>Profile Shared</t>
        </is>
      </c>
      <c r="H9" s="93" t="n">
        <v>30</v>
      </c>
      <c r="I9" s="94" t="n">
        <v>8000</v>
      </c>
      <c r="J9" s="186" t="n">
        <v>14400</v>
      </c>
      <c r="K9" s="47" t="inlineStr"/>
      <c r="L9" s="187" t="inlineStr">
        <is>
          <t>Not Invoiced</t>
        </is>
      </c>
      <c r="M9" s="47" t="inlineStr"/>
      <c r="N9" s="188" t="inlineStr">
        <is>
          <t>Mar 08</t>
        </is>
      </c>
      <c r="O9" s="202" t="inlineStr">
        <is>
          <t>LinkedIn</t>
        </is>
      </c>
      <c r="P9" s="50" t="n">
        <v>48000</v>
      </c>
      <c r="Q9" s="190" t="n">
        <v>6</v>
      </c>
      <c r="R9" s="191" t="inlineStr">
        <is>
          <t>Internal</t>
        </is>
      </c>
      <c r="S9" s="192" t="inlineStr">
        <is>
          <t>Follow up HR in 48hrs</t>
        </is>
      </c>
    </row>
    <row r="10" ht="20" customHeight="1">
      <c r="A10" s="96" t="n">
        <v>6</v>
      </c>
      <c r="B10" s="97" t="inlineStr">
        <is>
          <t>Satish Yadav</t>
        </is>
      </c>
      <c r="C10" s="97" t="inlineStr">
        <is>
          <t>Sutherland Global</t>
        </is>
      </c>
      <c r="D10" s="96" t="inlineStr">
        <is>
          <t>Noida</t>
        </is>
      </c>
      <c r="E10" s="96" t="inlineStr">
        <is>
          <t>Training Manager</t>
        </is>
      </c>
      <c r="F10" s="98" t="n">
        <v>65000</v>
      </c>
      <c r="G10" s="96" t="inlineStr">
        <is>
          <t>Interview Scheduled</t>
        </is>
      </c>
      <c r="H10" s="99" t="n">
        <v>60</v>
      </c>
      <c r="I10" s="94" t="n">
        <v>8000</v>
      </c>
      <c r="J10" s="186" t="n">
        <v>57600</v>
      </c>
      <c r="K10" s="96" t="inlineStr"/>
      <c r="L10" s="187" t="inlineStr">
        <is>
          <t>Not Invoiced</t>
        </is>
      </c>
      <c r="M10" s="96" t="inlineStr"/>
      <c r="N10" s="193" t="inlineStr">
        <is>
          <t>Mar 10</t>
        </is>
      </c>
      <c r="O10" s="189" t="inlineStr">
        <is>
          <t>Cold Call</t>
        </is>
      </c>
      <c r="P10" s="50" t="n">
        <v>96000</v>
      </c>
      <c r="Q10" s="190" t="n">
        <v>12</v>
      </c>
      <c r="R10" s="203" t="inlineStr">
        <is>
          <t>Partner Agency</t>
        </is>
      </c>
      <c r="S10" s="195" t="inlineStr">
        <is>
          <t>Confirm interview slot</t>
        </is>
      </c>
    </row>
    <row r="11" ht="20" customHeight="1">
      <c r="A11" s="47" t="n">
        <v>7</v>
      </c>
      <c r="B11" s="30" t="inlineStr">
        <is>
          <t>Ankita Dubey</t>
        </is>
      </c>
      <c r="C11" s="30" t="inlineStr">
        <is>
          <t>Shiprocket</t>
        </is>
      </c>
      <c r="D11" s="47" t="inlineStr">
        <is>
          <t>Noida</t>
        </is>
      </c>
      <c r="E11" s="47" t="inlineStr">
        <is>
          <t>Content Writer</t>
        </is>
      </c>
      <c r="F11" s="92" t="n">
        <v>18000</v>
      </c>
      <c r="G11" s="47" t="inlineStr">
        <is>
          <t>Profile Shared</t>
        </is>
      </c>
      <c r="H11" s="93" t="n">
        <v>30</v>
      </c>
      <c r="I11" s="94" t="n">
        <v>8000</v>
      </c>
      <c r="J11" s="186" t="n">
        <v>12000</v>
      </c>
      <c r="K11" s="47" t="inlineStr"/>
      <c r="L11" s="187" t="inlineStr">
        <is>
          <t>Not Invoiced</t>
        </is>
      </c>
      <c r="M11" s="47" t="inlineStr"/>
      <c r="N11" s="188" t="inlineStr">
        <is>
          <t>Mar 09</t>
        </is>
      </c>
      <c r="O11" s="204" t="inlineStr">
        <is>
          <t>Meta Ads</t>
        </is>
      </c>
      <c r="P11" s="50" t="n">
        <v>40000</v>
      </c>
      <c r="Q11" s="190" t="n">
        <v>5</v>
      </c>
      <c r="R11" s="191" t="inlineStr">
        <is>
          <t>Internal</t>
        </is>
      </c>
      <c r="S11" s="192" t="inlineStr">
        <is>
          <t>Awaiting HR feedback</t>
        </is>
      </c>
    </row>
    <row r="12" ht="20" customHeight="1">
      <c r="A12" s="45" t="n">
        <v>8</v>
      </c>
      <c r="B12" s="54" t="inlineStr">
        <is>
          <t>Vikas Patel</t>
        </is>
      </c>
      <c r="C12" s="54" t="inlineStr">
        <is>
          <t>Narayana Hospital</t>
        </is>
      </c>
      <c r="D12" s="45" t="inlineStr">
        <is>
          <t>Kanpur</t>
        </is>
      </c>
      <c r="E12" s="45" t="inlineStr">
        <is>
          <t>Medical Rep</t>
        </is>
      </c>
      <c r="F12" s="100" t="n">
        <v>28000</v>
      </c>
      <c r="G12" s="45" t="inlineStr">
        <is>
          <t>Offer Made</t>
        </is>
      </c>
      <c r="H12" s="101" t="n">
        <v>85</v>
      </c>
      <c r="I12" s="94" t="n">
        <v>8000</v>
      </c>
      <c r="J12" s="186" t="n">
        <v>68000</v>
      </c>
      <c r="K12" s="45" t="inlineStr"/>
      <c r="L12" s="196" t="inlineStr">
        <is>
          <t>Invoice Sent</t>
        </is>
      </c>
      <c r="M12" s="45" t="inlineStr"/>
      <c r="N12" s="197" t="inlineStr">
        <is>
          <t>Mar 08</t>
        </is>
      </c>
      <c r="O12" s="205" t="inlineStr">
        <is>
          <t>Walk-in</t>
        </is>
      </c>
      <c r="P12" s="50" t="n">
        <v>80000</v>
      </c>
      <c r="Q12" s="190" t="n">
        <v>10</v>
      </c>
      <c r="R12" s="191" t="inlineStr">
        <is>
          <t>Internal</t>
        </is>
      </c>
      <c r="S12" s="199" t="inlineStr">
        <is>
          <t>Salary negotiation pending</t>
        </is>
      </c>
    </row>
    <row r="13" ht="20" customHeight="1">
      <c r="A13" s="79" t="n">
        <v>9</v>
      </c>
      <c r="B13" s="78" t="inlineStr">
        <is>
          <t>Neha Gupta</t>
        </is>
      </c>
      <c r="C13" s="78" t="inlineStr">
        <is>
          <t>Fortis Hospital</t>
        </is>
      </c>
      <c r="D13" s="79" t="inlineStr">
        <is>
          <t>Noida</t>
        </is>
      </c>
      <c r="E13" s="79" t="inlineStr">
        <is>
          <t>Staff Nurse</t>
        </is>
      </c>
      <c r="F13" s="103" t="n">
        <v>32000</v>
      </c>
      <c r="G13" s="79" t="inlineStr">
        <is>
          <t>Joined</t>
        </is>
      </c>
      <c r="H13" s="104" t="n">
        <v>100</v>
      </c>
      <c r="I13" s="94" t="n">
        <v>8000</v>
      </c>
      <c r="J13" s="186" t="n">
        <v>8000</v>
      </c>
      <c r="K13" s="38" t="inlineStr">
        <is>
          <t>Yes</t>
        </is>
      </c>
      <c r="L13" s="206" t="inlineStr">
        <is>
          <t>Payment Received</t>
        </is>
      </c>
      <c r="M13" s="79" t="inlineStr"/>
      <c r="N13" s="207" t="inlineStr">
        <is>
          <t>—</t>
        </is>
      </c>
      <c r="O13" s="189" t="inlineStr">
        <is>
          <t>Database</t>
        </is>
      </c>
      <c r="P13" s="50" t="n">
        <v>8000</v>
      </c>
      <c r="Q13" s="190" t="n">
        <v>1</v>
      </c>
      <c r="R13" s="191" t="inlineStr">
        <is>
          <t>Internal</t>
        </is>
      </c>
      <c r="S13" s="208" t="inlineStr">
        <is>
          <t>Invoice raised — follow pymt</t>
        </is>
      </c>
    </row>
    <row r="14" ht="20" customHeight="1">
      <c r="A14" s="79" t="n">
        <v>10</v>
      </c>
      <c r="B14" s="78" t="inlineStr">
        <is>
          <t>Pallavi Singh</t>
        </is>
      </c>
      <c r="C14" s="78" t="inlineStr">
        <is>
          <t>KGMU Hospital</t>
        </is>
      </c>
      <c r="D14" s="79" t="inlineStr">
        <is>
          <t>Jaipur</t>
        </is>
      </c>
      <c r="E14" s="79" t="inlineStr">
        <is>
          <t>Nursing Incharge</t>
        </is>
      </c>
      <c r="F14" s="103" t="n">
        <v>58000</v>
      </c>
      <c r="G14" s="79" t="inlineStr">
        <is>
          <t>Joined</t>
        </is>
      </c>
      <c r="H14" s="104" t="n">
        <v>100</v>
      </c>
      <c r="I14" s="94" t="n">
        <v>8000</v>
      </c>
      <c r="J14" s="186" t="n">
        <v>8000</v>
      </c>
      <c r="K14" s="38" t="inlineStr">
        <is>
          <t>Yes</t>
        </is>
      </c>
      <c r="L14" s="196" t="inlineStr">
        <is>
          <t>Invoice Sent</t>
        </is>
      </c>
      <c r="M14" s="79" t="inlineStr"/>
      <c r="N14" s="207" t="inlineStr">
        <is>
          <t>Mar 15</t>
        </is>
      </c>
      <c r="O14" s="202" t="inlineStr">
        <is>
          <t>LinkedIn</t>
        </is>
      </c>
      <c r="P14" s="50" t="n">
        <v>8000</v>
      </c>
      <c r="Q14" s="190" t="n">
        <v>1</v>
      </c>
      <c r="R14" s="191" t="inlineStr">
        <is>
          <t>Internal</t>
        </is>
      </c>
      <c r="S14" s="208" t="inlineStr">
        <is>
          <t>Invoice raised — follow pymt</t>
        </is>
      </c>
    </row>
    <row r="15" ht="20" customHeight="1">
      <c r="A15" s="21" t="n">
        <v>11</v>
      </c>
      <c r="B15" s="20" t="inlineStr"/>
      <c r="C15" s="20" t="inlineStr"/>
      <c r="D15" s="21" t="inlineStr"/>
      <c r="E15" s="21" t="inlineStr"/>
      <c r="F15" s="21" t="inlineStr"/>
      <c r="G15" s="21" t="inlineStr"/>
      <c r="H15" s="105" t="inlineStr"/>
      <c r="I15" s="94" t="inlineStr"/>
      <c r="J15" s="95" t="inlineStr"/>
      <c r="K15" s="21" t="inlineStr"/>
      <c r="L15" s="21" t="inlineStr"/>
      <c r="M15" s="21" t="inlineStr"/>
      <c r="N15" s="20" t="inlineStr"/>
      <c r="O15" s="209" t="inlineStr"/>
      <c r="P15" s="209" t="inlineStr"/>
      <c r="Q15" s="209" t="inlineStr"/>
      <c r="R15" s="209" t="inlineStr"/>
      <c r="S15" s="209" t="inlineStr"/>
    </row>
    <row r="16" ht="20" customHeight="1">
      <c r="A16" s="21" t="n">
        <v>12</v>
      </c>
      <c r="B16" s="20" t="inlineStr"/>
      <c r="C16" s="20" t="inlineStr"/>
      <c r="D16" s="21" t="inlineStr"/>
      <c r="E16" s="21" t="inlineStr"/>
      <c r="F16" s="21" t="inlineStr"/>
      <c r="G16" s="21" t="inlineStr"/>
      <c r="H16" s="105" t="inlineStr"/>
      <c r="I16" s="94" t="inlineStr"/>
      <c r="J16" s="95" t="inlineStr"/>
      <c r="K16" s="21" t="inlineStr"/>
      <c r="L16" s="21" t="inlineStr"/>
      <c r="M16" s="21" t="inlineStr"/>
      <c r="N16" s="20" t="inlineStr"/>
      <c r="O16" s="210" t="inlineStr"/>
      <c r="P16" s="210" t="inlineStr"/>
      <c r="Q16" s="210" t="inlineStr"/>
      <c r="R16" s="210" t="inlineStr"/>
      <c r="S16" s="210" t="inlineStr"/>
    </row>
    <row r="17" ht="20" customHeight="1">
      <c r="A17" s="21" t="n">
        <v>13</v>
      </c>
      <c r="B17" s="20" t="inlineStr"/>
      <c r="C17" s="20" t="inlineStr"/>
      <c r="D17" s="21" t="inlineStr"/>
      <c r="E17" s="21" t="inlineStr"/>
      <c r="F17" s="21" t="inlineStr"/>
      <c r="G17" s="21" t="inlineStr"/>
      <c r="H17" s="105" t="inlineStr"/>
      <c r="I17" s="94" t="inlineStr"/>
      <c r="J17" s="95" t="inlineStr"/>
      <c r="K17" s="21" t="inlineStr"/>
      <c r="L17" s="21" t="inlineStr"/>
      <c r="M17" s="21" t="inlineStr"/>
      <c r="N17" s="20" t="inlineStr"/>
      <c r="O17" s="209" t="inlineStr"/>
      <c r="P17" s="209" t="inlineStr"/>
      <c r="Q17" s="209" t="inlineStr"/>
      <c r="R17" s="209" t="inlineStr"/>
      <c r="S17" s="209" t="inlineStr"/>
    </row>
    <row r="18" ht="20" customHeight="1">
      <c r="A18" s="21" t="n">
        <v>14</v>
      </c>
      <c r="B18" s="20" t="inlineStr"/>
      <c r="C18" s="20" t="inlineStr"/>
      <c r="D18" s="21" t="inlineStr"/>
      <c r="E18" s="21" t="inlineStr"/>
      <c r="F18" s="21" t="inlineStr"/>
      <c r="G18" s="21" t="inlineStr"/>
      <c r="H18" s="105" t="inlineStr"/>
      <c r="I18" s="94" t="inlineStr"/>
      <c r="J18" s="95" t="inlineStr"/>
      <c r="K18" s="21" t="inlineStr"/>
      <c r="L18" s="21" t="inlineStr"/>
      <c r="M18" s="21" t="inlineStr"/>
      <c r="N18" s="20" t="inlineStr"/>
      <c r="O18" s="210" t="inlineStr"/>
      <c r="P18" s="210" t="inlineStr"/>
      <c r="Q18" s="210" t="inlineStr"/>
      <c r="R18" s="210" t="inlineStr"/>
      <c r="S18" s="210" t="inlineStr"/>
    </row>
    <row r="19" ht="20" customHeight="1">
      <c r="A19" s="21" t="n">
        <v>15</v>
      </c>
      <c r="B19" s="20" t="inlineStr"/>
      <c r="C19" s="20" t="inlineStr"/>
      <c r="D19" s="21" t="inlineStr"/>
      <c r="E19" s="21" t="inlineStr"/>
      <c r="F19" s="21" t="inlineStr"/>
      <c r="G19" s="21" t="inlineStr"/>
      <c r="H19" s="105" t="inlineStr"/>
      <c r="I19" s="94" t="inlineStr"/>
      <c r="J19" s="95" t="inlineStr"/>
      <c r="K19" s="21" t="inlineStr"/>
      <c r="L19" s="21" t="inlineStr"/>
      <c r="M19" s="21" t="inlineStr"/>
      <c r="N19" s="20" t="inlineStr"/>
      <c r="O19" s="209" t="inlineStr"/>
      <c r="P19" s="209" t="inlineStr"/>
      <c r="Q19" s="209" t="inlineStr"/>
      <c r="R19" s="209" t="inlineStr"/>
      <c r="S19" s="209" t="inlineStr"/>
    </row>
    <row r="20" ht="40" customHeight="1">
      <c r="I20" s="106" t="inlineStr">
        <is>
          <t>Expected Revenue</t>
        </is>
      </c>
      <c r="J20" s="211" t="inlineStr">
        <is>
          <t>Total Weighted Rev</t>
        </is>
      </c>
      <c r="P20" s="212" t="inlineStr">
        <is>
          <t>Total Deal Value</t>
        </is>
      </c>
    </row>
    <row r="21">
      <c r="A21" s="108" t="inlineStr">
        <is>
          <t>PIPELINE TOTALS →</t>
        </is>
      </c>
      <c r="I21" s="9">
        <f>SUM(I4:I18)</f>
        <v/>
      </c>
      <c r="J21" s="213">
        <f>SUM(J4:J18)</f>
        <v/>
      </c>
      <c r="P21" s="214">
        <f>SUM(P4:P18)</f>
        <v/>
      </c>
    </row>
  </sheetData>
  <mergeCells count="3">
    <mergeCell ref="A20:H20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16" customWidth="1" min="4" max="4"/>
    <col width="30" customWidth="1" min="5" max="5"/>
    <col width="10" customWidth="1" min="6" max="6"/>
    <col width="16" customWidth="1" min="7" max="7"/>
    <col width="14" customWidth="1" min="8" max="8"/>
    <col width="10" customWidth="1" min="9" max="9"/>
    <col width="16" customWidth="1" min="10" max="10"/>
    <col width="18" customWidth="1" min="11" max="11"/>
    <col width="14" customWidth="1" min="12" max="12"/>
    <col width="12" customWidth="1" min="13" max="13"/>
    <col width="14" customWidth="1" min="14" max="14"/>
    <col width="16" customWidth="1" min="15" max="15"/>
    <col width="10" customWidth="1" min="16" max="16"/>
    <col width="28" customWidth="1" min="17" max="17"/>
  </cols>
  <sheetData>
    <row r="1" ht="38" customHeight="1">
      <c r="A1" s="49" t="inlineStr">
        <is>
          <t>🤝  CLIENT MASTER — Long-Term Money Lives Here</t>
        </is>
      </c>
    </row>
    <row r="2" ht="26" customHeight="1">
      <c r="A2" s="15" t="inlineStr">
        <is>
          <t>client_id</t>
        </is>
      </c>
      <c r="B2" s="15" t="inlineStr">
        <is>
          <t>employer_name</t>
        </is>
      </c>
      <c r="C2" s="15" t="inlineStr">
        <is>
          <t>hr_contact</t>
        </is>
      </c>
      <c r="D2" s="15" t="inlineStr">
        <is>
          <t>phone</t>
        </is>
      </c>
      <c r="E2" s="15" t="inlineStr">
        <is>
          <t>email</t>
        </is>
      </c>
      <c r="F2" s="15" t="inlineStr">
        <is>
          <t>industry</t>
        </is>
      </c>
      <c r="G2" s="15" t="inlineStr">
        <is>
          <t>fee_per_placement_inr</t>
        </is>
      </c>
      <c r="H2" s="15" t="inlineStr">
        <is>
          <t>payment_terms_days</t>
        </is>
      </c>
      <c r="I2" s="15" t="inlineStr">
        <is>
          <t>retainer_client</t>
        </is>
      </c>
      <c r="J2" s="15" t="inlineStr">
        <is>
          <t>monthly_retainer_inr</t>
        </is>
      </c>
      <c r="K2" s="15" t="inlineStr">
        <is>
          <t>total_revenue_generated_inr</t>
        </is>
      </c>
      <c r="L2" s="15" t="inlineStr">
        <is>
          <t>total_placements</t>
        </is>
      </c>
      <c r="M2" s="15" t="inlineStr">
        <is>
          <t>avg_fee_inr</t>
        </is>
      </c>
      <c r="N2" s="15" t="inlineStr">
        <is>
          <t>last_interaction_date</t>
        </is>
      </c>
      <c r="O2" s="15" t="inlineStr">
        <is>
          <t>client_ltv_inr</t>
        </is>
      </c>
      <c r="P2" s="15" t="inlineStr">
        <is>
          <t>status</t>
        </is>
      </c>
      <c r="Q2" s="15" t="inlineStr">
        <is>
          <t>notes</t>
        </is>
      </c>
    </row>
    <row r="3" ht="20" customHeight="1">
      <c r="A3" s="109" t="inlineStr">
        <is>
          <t>CLI-0001</t>
        </is>
      </c>
      <c r="B3" s="32" t="inlineStr">
        <is>
          <t>Teleperformance</t>
        </is>
      </c>
      <c r="C3" s="32" t="inlineStr">
        <is>
          <t>Sneha Tiwari</t>
        </is>
      </c>
      <c r="D3" s="109" t="inlineStr">
        <is>
          <t>+91-9801234567</t>
        </is>
      </c>
      <c r="E3" s="32" t="inlineStr">
        <is>
          <t>sneha.tiwari@teleperformance.com</t>
        </is>
      </c>
      <c r="F3" s="109" t="inlineStr">
        <is>
          <t>BPO</t>
        </is>
      </c>
      <c r="G3" s="110" t="n">
        <v>8000</v>
      </c>
      <c r="H3" s="109" t="n">
        <v>15</v>
      </c>
      <c r="I3" s="109" t="inlineStr">
        <is>
          <t>No</t>
        </is>
      </c>
      <c r="J3" s="110" t="n">
        <v>0</v>
      </c>
      <c r="K3" s="51" t="n">
        <v>0</v>
      </c>
      <c r="L3" s="109" t="n">
        <v>0</v>
      </c>
      <c r="M3" s="110" t="n">
        <v>8000</v>
      </c>
      <c r="N3" s="109" t="inlineStr"/>
      <c r="O3" s="33" t="inlineStr"/>
      <c r="P3" s="45" t="inlineStr">
        <is>
          <t>Active</t>
        </is>
      </c>
      <c r="Q3" s="32" t="inlineStr">
        <is>
          <t>Top priority - 70 hires/mo</t>
        </is>
      </c>
    </row>
    <row r="4" ht="20" customHeight="1">
      <c r="A4" s="109" t="inlineStr">
        <is>
          <t>CLI-0002</t>
        </is>
      </c>
      <c r="B4" s="32" t="inlineStr">
        <is>
          <t>iEnergizer</t>
        </is>
      </c>
      <c r="C4" s="32" t="inlineStr">
        <is>
          <t>Priya Singh</t>
        </is>
      </c>
      <c r="D4" s="109" t="inlineStr">
        <is>
          <t>+91-9823456789</t>
        </is>
      </c>
      <c r="E4" s="32" t="inlineStr">
        <is>
          <t>priya.singh@ienergizer.com</t>
        </is>
      </c>
      <c r="F4" s="109" t="inlineStr">
        <is>
          <t>BPO</t>
        </is>
      </c>
      <c r="G4" s="110" t="n">
        <v>8000</v>
      </c>
      <c r="H4" s="109" t="n">
        <v>15</v>
      </c>
      <c r="I4" s="109" t="inlineStr">
        <is>
          <t>No</t>
        </is>
      </c>
      <c r="J4" s="110" t="n">
        <v>0</v>
      </c>
      <c r="K4" s="51" t="n">
        <v>0</v>
      </c>
      <c r="L4" s="109" t="n">
        <v>0</v>
      </c>
      <c r="M4" s="110" t="n">
        <v>8000</v>
      </c>
      <c r="N4" s="109" t="inlineStr"/>
      <c r="O4" s="33" t="inlineStr"/>
      <c r="P4" s="45" t="inlineStr">
        <is>
          <t>Active</t>
        </is>
      </c>
      <c r="Q4" s="32" t="inlineStr">
        <is>
          <t>60 hires/mo - pitch retainer</t>
        </is>
      </c>
    </row>
    <row r="5" ht="20" customHeight="1">
      <c r="A5" s="109" t="inlineStr">
        <is>
          <t>CLI-0003</t>
        </is>
      </c>
      <c r="B5" s="32" t="inlineStr">
        <is>
          <t>Sutherland Global</t>
        </is>
      </c>
      <c r="C5" s="32" t="inlineStr">
        <is>
          <t>Vikram Singh</t>
        </is>
      </c>
      <c r="D5" s="109" t="inlineStr">
        <is>
          <t>+91-9778901234</t>
        </is>
      </c>
      <c r="E5" s="32" t="inlineStr">
        <is>
          <t>vikram.singh@sutherlandglobal.com</t>
        </is>
      </c>
      <c r="F5" s="109" t="inlineStr">
        <is>
          <t>BPO</t>
        </is>
      </c>
      <c r="G5" s="110" t="n">
        <v>8000</v>
      </c>
      <c r="H5" s="109" t="n">
        <v>30</v>
      </c>
      <c r="I5" s="109" t="inlineStr">
        <is>
          <t>No</t>
        </is>
      </c>
      <c r="J5" s="110" t="n">
        <v>0</v>
      </c>
      <c r="K5" s="51" t="n">
        <v>0</v>
      </c>
      <c r="L5" s="109" t="n">
        <v>0</v>
      </c>
      <c r="M5" s="110" t="n">
        <v>8000</v>
      </c>
      <c r="N5" s="109" t="inlineStr"/>
      <c r="O5" s="33" t="inlineStr"/>
      <c r="P5" s="45" t="inlineStr">
        <is>
          <t>Active</t>
        </is>
      </c>
      <c r="Q5" s="32" t="inlineStr">
        <is>
          <t>55 hires/mo</t>
        </is>
      </c>
    </row>
    <row r="6" ht="20" customHeight="1">
      <c r="A6" s="109" t="inlineStr">
        <is>
          <t>CLI-0004</t>
        </is>
      </c>
      <c r="B6" s="32" t="inlineStr">
        <is>
          <t>Genpact</t>
        </is>
      </c>
      <c r="C6" s="32" t="inlineStr">
        <is>
          <t>Nisha Agarwal</t>
        </is>
      </c>
      <c r="D6" s="109" t="inlineStr">
        <is>
          <t>+91-9845678901</t>
        </is>
      </c>
      <c r="E6" s="32" t="inlineStr">
        <is>
          <t>nisha.agarwal@genpact.com</t>
        </is>
      </c>
      <c r="F6" s="109" t="inlineStr">
        <is>
          <t>BPO</t>
        </is>
      </c>
      <c r="G6" s="110" t="n">
        <v>8000</v>
      </c>
      <c r="H6" s="109" t="n">
        <v>30</v>
      </c>
      <c r="I6" s="109" t="inlineStr">
        <is>
          <t>No</t>
        </is>
      </c>
      <c r="J6" s="110" t="n">
        <v>0</v>
      </c>
      <c r="K6" s="51" t="n">
        <v>0</v>
      </c>
      <c r="L6" s="109" t="n">
        <v>0</v>
      </c>
      <c r="M6" s="110" t="n">
        <v>8000</v>
      </c>
      <c r="N6" s="109" t="inlineStr"/>
      <c r="O6" s="33" t="inlineStr"/>
      <c r="P6" s="45" t="inlineStr">
        <is>
          <t>Active</t>
        </is>
      </c>
      <c r="Q6" s="32" t="inlineStr">
        <is>
          <t>Pitch retainer deal</t>
        </is>
      </c>
    </row>
    <row r="7" ht="20" customHeight="1">
      <c r="A7" s="109" t="inlineStr">
        <is>
          <t>CLI-0005</t>
        </is>
      </c>
      <c r="B7" s="32" t="inlineStr">
        <is>
          <t>Concentrix India</t>
        </is>
      </c>
      <c r="C7" s="32" t="inlineStr">
        <is>
          <t>Amit Verma</t>
        </is>
      </c>
      <c r="D7" s="109" t="inlineStr">
        <is>
          <t>+91-9812345678</t>
        </is>
      </c>
      <c r="E7" s="32" t="inlineStr">
        <is>
          <t>amit.verma@concentrix.com</t>
        </is>
      </c>
      <c r="F7" s="109" t="inlineStr">
        <is>
          <t>BPO</t>
        </is>
      </c>
      <c r="G7" s="110" t="n">
        <v>8000</v>
      </c>
      <c r="H7" s="109" t="n">
        <v>15</v>
      </c>
      <c r="I7" s="109" t="inlineStr">
        <is>
          <t>No</t>
        </is>
      </c>
      <c r="J7" s="110" t="n">
        <v>0</v>
      </c>
      <c r="K7" s="51" t="n">
        <v>0</v>
      </c>
      <c r="L7" s="109" t="n">
        <v>0</v>
      </c>
      <c r="M7" s="110" t="n">
        <v>8000</v>
      </c>
      <c r="N7" s="109" t="inlineStr"/>
      <c r="O7" s="33" t="inlineStr"/>
      <c r="P7" s="45" t="inlineStr">
        <is>
          <t>Active</t>
        </is>
      </c>
      <c r="Q7" s="32" t="inlineStr">
        <is>
          <t>Strong warmth score 4</t>
        </is>
      </c>
    </row>
    <row r="8" ht="20" customHeight="1">
      <c r="A8" s="111" t="inlineStr">
        <is>
          <t>CLI-0006</t>
        </is>
      </c>
      <c r="B8" s="112" t="inlineStr">
        <is>
          <t>Fortis Hospital</t>
        </is>
      </c>
      <c r="C8" s="112" t="inlineStr">
        <is>
          <t>Sunita Bhatt</t>
        </is>
      </c>
      <c r="D8" s="111" t="inlineStr">
        <is>
          <t>+91-9455678901</t>
        </is>
      </c>
      <c r="E8" s="112" t="inlineStr">
        <is>
          <t>sunita.hr@fortishealthcare.com</t>
        </is>
      </c>
      <c r="F8" s="111" t="inlineStr">
        <is>
          <t>Hospital</t>
        </is>
      </c>
      <c r="G8" s="113" t="n">
        <v>8000</v>
      </c>
      <c r="H8" s="111" t="n">
        <v>30</v>
      </c>
      <c r="I8" s="111" t="inlineStr">
        <is>
          <t>No</t>
        </is>
      </c>
      <c r="J8" s="113" t="n">
        <v>0</v>
      </c>
      <c r="K8" s="114" t="n">
        <v>16000</v>
      </c>
      <c r="L8" s="111" t="n">
        <v>2</v>
      </c>
      <c r="M8" s="113" t="n">
        <v>8000</v>
      </c>
      <c r="N8" s="111" t="inlineStr"/>
      <c r="O8" s="115" t="inlineStr">
        <is>
          <t>24000</t>
        </is>
      </c>
      <c r="P8" s="45" t="inlineStr">
        <is>
          <t>Active</t>
        </is>
      </c>
      <c r="Q8" s="112" t="inlineStr">
        <is>
          <t>2 placed - build relationship</t>
        </is>
      </c>
    </row>
    <row r="9" ht="20" customHeight="1">
      <c r="A9" s="111" t="inlineStr">
        <is>
          <t>CLI-0007</t>
        </is>
      </c>
      <c r="B9" s="112" t="inlineStr">
        <is>
          <t>KGMU Hospital</t>
        </is>
      </c>
      <c r="C9" s="112" t="inlineStr">
        <is>
          <t>Dr. Anita Srivastava</t>
        </is>
      </c>
      <c r="D9" s="111" t="inlineStr">
        <is>
          <t>+91-9411234567</t>
        </is>
      </c>
      <c r="E9" s="112" t="inlineStr">
        <is>
          <t>hr@kgmu.org</t>
        </is>
      </c>
      <c r="F9" s="111" t="inlineStr">
        <is>
          <t>Hospital</t>
        </is>
      </c>
      <c r="G9" s="113" t="n">
        <v>8000</v>
      </c>
      <c r="H9" s="111" t="n">
        <v>45</v>
      </c>
      <c r="I9" s="111" t="inlineStr">
        <is>
          <t>No</t>
        </is>
      </c>
      <c r="J9" s="113" t="n">
        <v>0</v>
      </c>
      <c r="K9" s="114" t="n">
        <v>8000</v>
      </c>
      <c r="L9" s="111" t="n">
        <v>1</v>
      </c>
      <c r="M9" s="113" t="n">
        <v>8000</v>
      </c>
      <c r="N9" s="111" t="inlineStr"/>
      <c r="O9" s="115" t="inlineStr">
        <is>
          <t>8000</t>
        </is>
      </c>
      <c r="P9" s="45" t="inlineStr">
        <is>
          <t>Active</t>
        </is>
      </c>
      <c r="Q9" s="112" t="inlineStr">
        <is>
          <t>1 placed - nurse</t>
        </is>
      </c>
    </row>
    <row r="10" ht="20" customHeight="1">
      <c r="A10" s="111" t="inlineStr">
        <is>
          <t>CLI-0008</t>
        </is>
      </c>
      <c r="B10" s="112" t="inlineStr">
        <is>
          <t>Narayana Hospital</t>
        </is>
      </c>
      <c r="C10" s="112" t="inlineStr">
        <is>
          <t>Ankita Sharma</t>
        </is>
      </c>
      <c r="D10" s="111" t="inlineStr">
        <is>
          <t>+91-9400123456</t>
        </is>
      </c>
      <c r="E10" s="112" t="inlineStr">
        <is>
          <t>ankita.hr@narayanahealth.org</t>
        </is>
      </c>
      <c r="F10" s="111" t="inlineStr">
        <is>
          <t>Hospital</t>
        </is>
      </c>
      <c r="G10" s="113" t="n">
        <v>8000</v>
      </c>
      <c r="H10" s="111" t="n">
        <v>30</v>
      </c>
      <c r="I10" s="111" t="inlineStr">
        <is>
          <t>No</t>
        </is>
      </c>
      <c r="J10" s="113" t="n">
        <v>0</v>
      </c>
      <c r="K10" s="116" t="n">
        <v>0</v>
      </c>
      <c r="L10" s="111" t="n">
        <v>0</v>
      </c>
      <c r="M10" s="113" t="n">
        <v>8000</v>
      </c>
      <c r="N10" s="111" t="inlineStr"/>
      <c r="O10" s="117" t="inlineStr"/>
      <c r="P10" s="45" t="inlineStr">
        <is>
          <t>Active</t>
        </is>
      </c>
      <c r="Q10" s="112" t="inlineStr">
        <is>
          <t>High volume - 25 hires/mo</t>
        </is>
      </c>
    </row>
    <row r="11" ht="20" customHeight="1">
      <c r="A11" s="62" t="inlineStr">
        <is>
          <t>CLI-0009</t>
        </is>
      </c>
      <c r="B11" s="61" t="inlineStr">
        <is>
          <t>Reliance Smart Kanpur</t>
        </is>
      </c>
      <c r="C11" s="61" t="inlineStr">
        <is>
          <t>Manoj Soni</t>
        </is>
      </c>
      <c r="D11" s="62" t="inlineStr">
        <is>
          <t>+91-9533456789</t>
        </is>
      </c>
      <c r="E11" s="61" t="inlineStr">
        <is>
          <t>manoj.hr@ril.com</t>
        </is>
      </c>
      <c r="F11" s="62" t="inlineStr">
        <is>
          <t>Retail</t>
        </is>
      </c>
      <c r="G11" s="118" t="n">
        <v>8000</v>
      </c>
      <c r="H11" s="62" t="n">
        <v>15</v>
      </c>
      <c r="I11" s="62" t="inlineStr">
        <is>
          <t>No</t>
        </is>
      </c>
      <c r="J11" s="118" t="n">
        <v>0</v>
      </c>
      <c r="K11" s="119" t="n">
        <v>0</v>
      </c>
      <c r="L11" s="62" t="n">
        <v>0</v>
      </c>
      <c r="M11" s="118" t="n">
        <v>8000</v>
      </c>
      <c r="N11" s="62" t="inlineStr"/>
      <c r="O11" s="63" t="inlineStr"/>
      <c r="P11" s="45" t="inlineStr">
        <is>
          <t>Active</t>
        </is>
      </c>
      <c r="Q11" s="61" t="inlineStr">
        <is>
          <t>Retail bulk hiring</t>
        </is>
      </c>
    </row>
    <row r="12" ht="20" customHeight="1">
      <c r="A12" s="62" t="inlineStr">
        <is>
          <t>CLI-0010</t>
        </is>
      </c>
      <c r="B12" s="61" t="inlineStr">
        <is>
          <t>V-Mart Retail</t>
        </is>
      </c>
      <c r="C12" s="61" t="inlineStr">
        <is>
          <t>Navin Gupta</t>
        </is>
      </c>
      <c r="D12" s="62" t="inlineStr">
        <is>
          <t>+91-9513456789</t>
        </is>
      </c>
      <c r="E12" s="61" t="inlineStr">
        <is>
          <t>navin.hr@vmart.co.in</t>
        </is>
      </c>
      <c r="F12" s="62" t="inlineStr">
        <is>
          <t>Retail</t>
        </is>
      </c>
      <c r="G12" s="118" t="n">
        <v>8000</v>
      </c>
      <c r="H12" s="62" t="n">
        <v>15</v>
      </c>
      <c r="I12" s="62" t="inlineStr">
        <is>
          <t>No</t>
        </is>
      </c>
      <c r="J12" s="118" t="n">
        <v>0</v>
      </c>
      <c r="K12" s="119" t="n">
        <v>0</v>
      </c>
      <c r="L12" s="62" t="n">
        <v>0</v>
      </c>
      <c r="M12" s="118" t="n">
        <v>8000</v>
      </c>
      <c r="N12" s="62" t="inlineStr"/>
      <c r="O12" s="63" t="inlineStr"/>
      <c r="P12" s="47" t="inlineStr">
        <is>
          <t>Prospect</t>
        </is>
      </c>
      <c r="Q12" s="61" t="inlineStr">
        <is>
          <t>Weekly hires - pitch retainer</t>
        </is>
      </c>
    </row>
  </sheetData>
  <autoFilter ref="A2:Q2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2" customWidth="1" min="5" max="5"/>
    <col width="14" customWidth="1" min="6" max="6"/>
  </cols>
  <sheetData>
    <row r="1" ht="40" customHeight="1">
      <c r="A1" s="49" t="inlineStr">
        <is>
          <t>📊  DATABASE VALUE TRACKER — Data is an Asset. Track It Like One.</t>
        </is>
      </c>
    </row>
    <row r="3" ht="22" customHeight="1">
      <c r="A3" s="2" t="inlineStr">
        <is>
          <t>🧑‍💼  CANDIDATE DATABASE BREAKDOWN (Update Monthly)</t>
        </is>
      </c>
      <c r="B3" s="174" t="n"/>
      <c r="C3" s="174" t="n"/>
      <c r="D3" s="174" t="n"/>
      <c r="E3" s="174" t="n"/>
      <c r="F3" s="175" t="n"/>
    </row>
    <row r="4" ht="26" customHeight="1">
      <c r="A4" s="15" t="inlineStr">
        <is>
          <t>Segment</t>
        </is>
      </c>
      <c r="B4" s="15" t="inlineStr">
        <is>
          <t>Current Count</t>
        </is>
      </c>
      <c r="C4" s="15" t="inlineStr">
        <is>
          <t>Active This Month</t>
        </is>
      </c>
      <c r="D4" s="15" t="inlineStr">
        <is>
          <t>Placed This Month</t>
        </is>
      </c>
      <c r="E4" s="15" t="inlineStr">
        <is>
          <t>Target (6 months)</t>
        </is>
      </c>
      <c r="F4" s="15" t="inlineStr">
        <is>
          <t>Asset Value Est. (₹)</t>
        </is>
      </c>
    </row>
    <row r="5" ht="22" customHeight="1">
      <c r="A5" s="120" t="inlineStr">
        <is>
          <t>TOTAL DATABASE</t>
        </is>
      </c>
      <c r="B5" s="121" t="n">
        <v>100</v>
      </c>
      <c r="C5" s="121" t="n">
        <v>72</v>
      </c>
      <c r="D5" s="121" t="n">
        <v>12</v>
      </c>
      <c r="E5" s="121" t="n">
        <v>10000</v>
      </c>
      <c r="F5" s="122">
        <f>B5*400</f>
        <v/>
      </c>
    </row>
    <row r="6" ht="22" customHeight="1">
      <c r="A6" s="32" t="inlineStr">
        <is>
          <t>BPO</t>
        </is>
      </c>
      <c r="B6" s="109" t="n">
        <v>20</v>
      </c>
      <c r="C6" s="109" t="n">
        <v>15</v>
      </c>
      <c r="D6" s="109" t="n">
        <v>4</v>
      </c>
      <c r="E6" s="109" t="n">
        <v>3000</v>
      </c>
      <c r="F6" s="110">
        <f>B6*400</f>
        <v/>
      </c>
    </row>
    <row r="7" ht="22" customHeight="1">
      <c r="A7" s="123" t="inlineStr">
        <is>
          <t>Sales</t>
        </is>
      </c>
      <c r="B7" s="124" t="n">
        <v>14</v>
      </c>
      <c r="C7" s="124" t="n">
        <v>10</v>
      </c>
      <c r="D7" s="124" t="n">
        <v>2</v>
      </c>
      <c r="E7" s="124" t="n">
        <v>1500</v>
      </c>
      <c r="F7" s="125">
        <f>B7*400</f>
        <v/>
      </c>
    </row>
    <row r="8" ht="22" customHeight="1">
      <c r="A8" s="126" t="inlineStr">
        <is>
          <t>Tech / IT</t>
        </is>
      </c>
      <c r="B8" s="127" t="n">
        <v>16</v>
      </c>
      <c r="C8" s="127" t="n">
        <v>12</v>
      </c>
      <c r="D8" s="127" t="n">
        <v>2</v>
      </c>
      <c r="E8" s="127" t="n">
        <v>1500</v>
      </c>
      <c r="F8" s="128">
        <f>B8*400</f>
        <v/>
      </c>
    </row>
    <row r="9" ht="22" customHeight="1">
      <c r="A9" s="112" t="inlineStr">
        <is>
          <t>Healthcare / Hospital</t>
        </is>
      </c>
      <c r="B9" s="111" t="n">
        <v>14</v>
      </c>
      <c r="C9" s="111" t="n">
        <v>10</v>
      </c>
      <c r="D9" s="111" t="n">
        <v>2</v>
      </c>
      <c r="E9" s="111" t="n">
        <v>1000</v>
      </c>
      <c r="F9" s="113">
        <f>B9*400</f>
        <v/>
      </c>
    </row>
    <row r="10" ht="22" customHeight="1">
      <c r="A10" s="52" t="inlineStr">
        <is>
          <t>Coaching / Education</t>
        </is>
      </c>
      <c r="B10" s="70" t="n">
        <v>14</v>
      </c>
      <c r="C10" s="70" t="n">
        <v>10</v>
      </c>
      <c r="D10" s="70" t="n">
        <v>1</v>
      </c>
      <c r="E10" s="70" t="n">
        <v>1000</v>
      </c>
      <c r="F10" s="129">
        <f>B10*400</f>
        <v/>
      </c>
    </row>
    <row r="11" ht="22" customHeight="1">
      <c r="A11" s="61" t="inlineStr">
        <is>
          <t>Retail / Ops</t>
        </is>
      </c>
      <c r="B11" s="62" t="n">
        <v>12</v>
      </c>
      <c r="C11" s="62" t="n">
        <v>8</v>
      </c>
      <c r="D11" s="62" t="n">
        <v>1</v>
      </c>
      <c r="E11" s="62" t="n">
        <v>1000</v>
      </c>
      <c r="F11" s="118">
        <f>B11*400</f>
        <v/>
      </c>
    </row>
    <row r="12" ht="22" customHeight="1">
      <c r="A12" s="130" t="inlineStr">
        <is>
          <t>SME / Backoffice</t>
        </is>
      </c>
      <c r="B12" s="131" t="n">
        <v>10</v>
      </c>
      <c r="C12" s="131" t="n">
        <v>7</v>
      </c>
      <c r="D12" s="131" t="n">
        <v>0</v>
      </c>
      <c r="E12" s="131" t="n">
        <v>1000</v>
      </c>
      <c r="F12" s="132">
        <f>B12*400</f>
        <v/>
      </c>
    </row>
    <row r="13" ht="22" customHeight="1">
      <c r="A13" s="73" t="inlineStr">
        <is>
          <t>Freshers (0–1 yr exp)</t>
        </is>
      </c>
      <c r="B13" s="74" t="n">
        <v>10</v>
      </c>
      <c r="C13" s="74" t="n">
        <v>5</v>
      </c>
      <c r="D13" s="74" t="n">
        <v>0</v>
      </c>
      <c r="E13" s="74" t="n">
        <v>500</v>
      </c>
      <c r="F13" s="133">
        <f>B13*300</f>
        <v/>
      </c>
    </row>
    <row r="14" ht="22" customHeight="1">
      <c r="A14" s="54" t="inlineStr">
        <is>
          <t>Experienced (3+ yrs)</t>
        </is>
      </c>
      <c r="B14" s="45" t="n">
        <v>50</v>
      </c>
      <c r="C14" s="45" t="n">
        <v>35</v>
      </c>
      <c r="D14" s="45" t="n">
        <v>8</v>
      </c>
      <c r="E14" s="45" t="n">
        <v>3000</v>
      </c>
      <c r="F14" s="100">
        <f>B14*600</f>
        <v/>
      </c>
    </row>
    <row r="16" ht="22" customHeight="1">
      <c r="A16" s="2" t="inlineStr">
        <is>
          <t>📈  DATABASE GROWTH ROADMAP — From 100 to 10,000</t>
        </is>
      </c>
      <c r="B16" s="174" t="n"/>
      <c r="C16" s="174" t="n"/>
      <c r="D16" s="174" t="n"/>
      <c r="E16" s="174" t="n"/>
      <c r="F16" s="175" t="n"/>
    </row>
    <row r="17">
      <c r="A17" s="15" t="inlineStr">
        <is>
          <t>Milestone</t>
        </is>
      </c>
      <c r="B17" s="15" t="inlineStr">
        <is>
          <t>Candidate Count</t>
        </is>
      </c>
      <c r="C17" s="15" t="inlineStr">
        <is>
          <t>Employer Count</t>
        </is>
      </c>
      <c r="D17" s="15" t="inlineStr">
        <is>
          <t>Monthly Capacity</t>
        </is>
      </c>
      <c r="E17" s="15" t="inlineStr">
        <is>
          <t>Monthly Revenue Potential (₹)</t>
        </is>
      </c>
      <c r="F17" s="15" t="inlineStr">
        <is>
          <t>Timeline</t>
        </is>
      </c>
    </row>
    <row r="18" ht="22" customHeight="1">
      <c r="A18" s="134" t="inlineStr">
        <is>
          <t>Current</t>
        </is>
      </c>
      <c r="B18" s="134" t="inlineStr">
        <is>
          <t>100</t>
        </is>
      </c>
      <c r="C18" s="134" t="inlineStr">
        <is>
          <t>72</t>
        </is>
      </c>
      <c r="D18" s="134" t="inlineStr">
        <is>
          <t>10</t>
        </is>
      </c>
      <c r="E18" s="135" t="n">
        <v>80000</v>
      </c>
      <c r="F18" s="134" t="inlineStr">
        <is>
          <t>Now</t>
        </is>
      </c>
    </row>
    <row r="19" ht="22" customHeight="1">
      <c r="A19" s="136" t="inlineStr">
        <is>
          <t>Phase 1</t>
        </is>
      </c>
      <c r="B19" s="136" t="inlineStr">
        <is>
          <t>500</t>
        </is>
      </c>
      <c r="C19" s="136" t="inlineStr">
        <is>
          <t>150</t>
        </is>
      </c>
      <c r="D19" s="136" t="inlineStr">
        <is>
          <t>40</t>
        </is>
      </c>
      <c r="E19" s="137" t="n">
        <v>320000</v>
      </c>
      <c r="F19" s="136" t="inlineStr">
        <is>
          <t>Month 3</t>
        </is>
      </c>
    </row>
    <row r="20" ht="22" customHeight="1">
      <c r="A20" s="47" t="inlineStr">
        <is>
          <t>Phase 2</t>
        </is>
      </c>
      <c r="B20" s="47" t="inlineStr">
        <is>
          <t>2,000</t>
        </is>
      </c>
      <c r="C20" s="47" t="inlineStr">
        <is>
          <t>400</t>
        </is>
      </c>
      <c r="D20" s="47" t="inlineStr">
        <is>
          <t>150</t>
        </is>
      </c>
      <c r="E20" s="138" t="n">
        <v>1200000</v>
      </c>
      <c r="F20" s="47" t="inlineStr">
        <is>
          <t>Month 6</t>
        </is>
      </c>
    </row>
    <row r="21" ht="22" customHeight="1">
      <c r="A21" s="45" t="inlineStr">
        <is>
          <t>Phase 3</t>
        </is>
      </c>
      <c r="B21" s="45" t="inlineStr">
        <is>
          <t>5,000</t>
        </is>
      </c>
      <c r="C21" s="45" t="inlineStr">
        <is>
          <t>800</t>
        </is>
      </c>
      <c r="D21" s="45" t="inlineStr">
        <is>
          <t>350</t>
        </is>
      </c>
      <c r="E21" s="139" t="n">
        <v>2800000</v>
      </c>
      <c r="F21" s="45" t="inlineStr">
        <is>
          <t>Month 12</t>
        </is>
      </c>
    </row>
    <row r="22" ht="22" customHeight="1">
      <c r="A22" s="48" t="inlineStr">
        <is>
          <t>Phase 4</t>
        </is>
      </c>
      <c r="B22" s="48" t="inlineStr">
        <is>
          <t>10,000</t>
        </is>
      </c>
      <c r="C22" s="48" t="inlineStr">
        <is>
          <t>1,500</t>
        </is>
      </c>
      <c r="D22" s="48" t="inlineStr">
        <is>
          <t>600</t>
        </is>
      </c>
      <c r="E22" s="140" t="n">
        <v>4800000</v>
      </c>
      <c r="F22" s="48" t="inlineStr">
        <is>
          <t>Month 18</t>
        </is>
      </c>
    </row>
    <row r="23" ht="22" customHeight="1">
      <c r="A23" s="141" t="inlineStr">
        <is>
          <t>₹10Cr Capable</t>
        </is>
      </c>
      <c r="B23" s="141" t="inlineStr">
        <is>
          <t>50,000</t>
        </is>
      </c>
      <c r="C23" s="141" t="inlineStr">
        <is>
          <t>5,000</t>
        </is>
      </c>
      <c r="D23" s="141" t="inlineStr">
        <is>
          <t>2,500</t>
        </is>
      </c>
      <c r="E23" s="142" t="n">
        <v>20000000</v>
      </c>
      <c r="F23" s="141" t="inlineStr">
        <is>
          <t>Month 30</t>
        </is>
      </c>
    </row>
    <row r="25" ht="22" customHeight="1">
      <c r="A25" s="2" t="inlineStr">
        <is>
          <t>💡  ASSET VALUATION LOGIC</t>
        </is>
      </c>
      <c r="B25" s="174" t="n"/>
      <c r="C25" s="174" t="n"/>
      <c r="D25" s="174" t="n"/>
      <c r="E25" s="174" t="n"/>
      <c r="F25" s="175" t="n"/>
    </row>
    <row r="26" ht="22" customHeight="1">
      <c r="A26" s="143" t="inlineStr">
        <is>
          <t>Per Active Candidate Value</t>
        </is>
      </c>
      <c r="B26" s="144" t="inlineStr">
        <is>
          <t>₹400</t>
        </is>
      </c>
      <c r="C26" s="143" t="inlineStr">
        <is>
          <t>Revenue/candidate if 5% convert at ₹8,000/placement</t>
        </is>
      </c>
    </row>
    <row r="27" ht="22" customHeight="1">
      <c r="A27" s="16" t="inlineStr">
        <is>
          <t>Per Experienced Candidate</t>
        </is>
      </c>
      <c r="B27" s="145" t="inlineStr">
        <is>
          <t>₹600</t>
        </is>
      </c>
      <c r="C27" s="16" t="inlineStr">
        <is>
          <t>Higher fee + repeat placement potential</t>
        </is>
      </c>
    </row>
    <row r="28" ht="22" customHeight="1">
      <c r="A28" s="143" t="inlineStr">
        <is>
          <t>Per Employer Account Value</t>
        </is>
      </c>
      <c r="B28" s="144" t="inlineStr">
        <is>
          <t>₹5,000</t>
        </is>
      </c>
      <c r="C28" s="143" t="inlineStr">
        <is>
          <t>Avg LTV: 5 placements × ₹8,000 × 12.5%</t>
        </is>
      </c>
    </row>
    <row r="29" ht="22" customHeight="1">
      <c r="A29" s="16" t="inlineStr">
        <is>
          <t>Database at 10,000 candidates</t>
        </is>
      </c>
      <c r="B29" s="145" t="inlineStr">
        <is>
          <t>₹40,00,000+</t>
        </is>
      </c>
      <c r="C29" s="16" t="inlineStr">
        <is>
          <t>10,000 × ₹400 baseline asset value</t>
        </is>
      </c>
    </row>
    <row r="30" ht="22" customHeight="1">
      <c r="A30" s="143" t="inlineStr">
        <is>
          <t>With 1,000 employer accounts</t>
        </is>
      </c>
      <c r="B30" s="144" t="inlineStr">
        <is>
          <t>₹50,00,000+</t>
        </is>
      </c>
      <c r="C30" s="143" t="inlineStr">
        <is>
          <t>1,000 × ₹5,000 employer value</t>
        </is>
      </c>
    </row>
    <row r="31" ht="22" customHeight="1">
      <c r="A31" s="16" t="inlineStr">
        <is>
          <t>Total Platform Asset Value</t>
        </is>
      </c>
      <c r="B31" s="145" t="inlineStr">
        <is>
          <t>₹1Cr+</t>
        </is>
      </c>
      <c r="C31" s="16" t="inlineStr">
        <is>
          <t>Data + relationships + processes</t>
        </is>
      </c>
    </row>
  </sheetData>
  <mergeCells count="4">
    <mergeCell ref="A3:F3"/>
    <mergeCell ref="A16:F16"/>
    <mergeCell ref="A1:F1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40" customHeight="1">
      <c r="A1" s="49" t="inlineStr">
        <is>
          <t>📞  CALL SCRIPTS — Copy. Paste. Call. Close.</t>
        </is>
      </c>
    </row>
    <row r="2" ht="24" customHeight="1">
      <c r="A2" s="146" t="inlineStr">
        <is>
          <t>── EMPLOYER COLD CALL</t>
        </is>
      </c>
      <c r="B2" s="146" t="inlineStr"/>
    </row>
    <row r="3" ht="80" customHeight="1">
      <c r="A3" s="147" t="inlineStr">
        <is>
          <t>Opening (10 sec)</t>
        </is>
      </c>
      <c r="B3" s="147" t="inlineStr">
        <is>
          <t>"Hi, am I speaking with [HR Name]? I'm Srijan from AS Recruitment. We specialize in BPO and operations hiring across Lucknow, Kanpur, Noida, Indore and Jaipur."</t>
        </is>
      </c>
    </row>
    <row r="4" ht="85" customHeight="1">
      <c r="A4" s="148" t="inlineStr">
        <is>
          <t>Hook (15 sec)</t>
        </is>
      </c>
      <c r="B4" s="148" t="inlineStr">
        <is>
          <t>"We have 200+ pre-screened BPO-ready candidates — voice process, English-fluent, night-shift available, salary range ₹12K–22K. Can I send you 5 profiles within 48 hours?"</t>
        </is>
      </c>
    </row>
    <row r="5" ht="78" customHeight="1">
      <c r="A5" s="147" t="inlineStr">
        <is>
          <t>If: 'We have vendors'</t>
        </is>
      </c>
      <c r="B5" s="147" t="inlineStr">
        <is>
          <t>"Completely understand. Not asking to replace anyone — just one trial batch of 5 profiles. If even 1 joins, you'll see the difference in quality and speed."</t>
        </is>
      </c>
    </row>
    <row r="6" ht="87" customHeight="1">
      <c r="A6" s="148" t="inlineStr">
        <is>
          <t>If: 'Send on email'</t>
        </is>
      </c>
      <c r="B6" s="148" t="inlineStr">
        <is>
          <t>"Perfect. What's the best email? I'll send a structured candidate brief — not a CV dump. You'll see communication score, shift flexibility, notice period — all pre-verified."</t>
        </is>
      </c>
    </row>
    <row r="7" ht="73" customHeight="1">
      <c r="A7" s="147" t="inlineStr">
        <is>
          <t>Close</t>
        </is>
      </c>
      <c r="B7" s="147" t="inlineStr">
        <is>
          <t>"One last thing — if the candidate joins and leaves within 30 days, I replace them free. Zero risk on your side. Shall I send the profiles today?"</t>
        </is>
      </c>
    </row>
    <row r="8" ht="8" customHeight="1">
      <c r="A8" s="149" t="inlineStr"/>
      <c r="B8" s="149" t="inlineStr"/>
    </row>
    <row r="9" ht="24" customHeight="1">
      <c r="A9" s="146" t="inlineStr">
        <is>
          <t>── 48-HR SPRINT PITCH</t>
        </is>
      </c>
      <c r="B9" s="146" t="inlineStr"/>
    </row>
    <row r="10" ht="87" customHeight="1">
      <c r="A10" s="148" t="inlineStr">
        <is>
          <t>Sprint Script</t>
        </is>
      </c>
      <c r="B10" s="148" t="inlineStr">
        <is>
          <t>"We offer a 48-Hour Hiring Sprint — ₹35,000 upfront. Includes 5 screened candidates, interview scheduling done by us, and free replacement if dropout in 30 days. Interested?"</t>
        </is>
      </c>
    </row>
    <row r="11" ht="88" customHeight="1">
      <c r="A11" s="147" t="inlineStr">
        <is>
          <t>Objection: Too costly</t>
        </is>
      </c>
      <c r="B11" s="147" t="inlineStr">
        <is>
          <t>"Our fee per placement is ₹8,000. If 2 of 5 join, you've recovered your investment. If none join — we refund or replace. What's your current cost per hire via Naukri or agency?"</t>
        </is>
      </c>
    </row>
    <row r="12" ht="58" customHeight="1">
      <c r="A12" s="148" t="inlineStr">
        <is>
          <t>Objection: Need to think</t>
        </is>
      </c>
      <c r="B12" s="148" t="inlineStr">
        <is>
          <t>"Totally fair. Let me send you 2 sample profiles right now — zero commitment. Just see the quality. Then you decide."</t>
        </is>
      </c>
    </row>
    <row r="13" ht="8" customHeight="1">
      <c r="A13" s="150" t="inlineStr"/>
      <c r="B13" s="150" t="inlineStr"/>
    </row>
    <row r="14" ht="24" customHeight="1">
      <c r="A14" s="146" t="inlineStr">
        <is>
          <t>── WHATSAPP — Candidate</t>
        </is>
      </c>
      <c r="B14" s="146" t="inlineStr"/>
    </row>
    <row r="15" ht="95" customHeight="1">
      <c r="A15" s="147" t="inlineStr">
        <is>
          <t>Activation Blast</t>
        </is>
      </c>
      <c r="B15" s="147" t="inlineStr">
        <is>
          <t>"Hi [Name], urgent BPO interviews this week at top companies in [City]. Salary: ₹13K–22K. Night/Morning shifts available. If interested, reply YES. Profiles shared in 24hrs. — AS Recruitment"</t>
        </is>
      </c>
    </row>
    <row r="16" ht="48" customHeight="1">
      <c r="A16" s="148" t="inlineStr">
        <is>
          <t>Follow-up (24hrs later)</t>
        </is>
      </c>
      <c r="B16" s="148" t="inlineStr">
        <is>
          <t>"Hi [Name], BPO slots are filling fast. Last chance — reply YES to confirm your slot this week."</t>
        </is>
      </c>
    </row>
    <row r="17" ht="53" customHeight="1">
      <c r="A17" s="147" t="inlineStr">
        <is>
          <t>After YES</t>
        </is>
      </c>
      <c r="B17" s="147" t="inlineStr">
        <is>
          <t>"Great! Confirm: 1) Available this week? 2) Night shift okay? 3) Notice period? We schedule you in 24hrs."</t>
        </is>
      </c>
    </row>
    <row r="18" ht="8" customHeight="1">
      <c r="A18" s="149" t="inlineStr"/>
      <c r="B18" s="149" t="inlineStr"/>
    </row>
    <row r="19" ht="24" customHeight="1">
      <c r="A19" s="146" t="inlineStr">
        <is>
          <t>── RETAINER PITCH</t>
        </is>
      </c>
      <c r="B19" s="146" t="inlineStr"/>
    </row>
    <row r="20" ht="100" customHeight="1">
      <c r="A20" s="148" t="inlineStr">
        <is>
          <t>Retainer Script</t>
        </is>
      </c>
      <c r="B20" s="148" t="inlineStr">
        <is>
          <t>"You've hired [X] candidates through us. For companies hiring 10+ monthly, we offer a retainer: ₹20,000/month — unlimited profiles, priority placement, dedicated account manager. This saves you ₹60,000+ in per-hire fees. Want to discuss?"</t>
        </is>
      </c>
    </row>
    <row r="21" ht="8" customHeight="1">
      <c r="A21" s="150" t="inlineStr"/>
      <c r="B21" s="150" t="inlineStr"/>
    </row>
    <row r="22" ht="24" customHeight="1">
      <c r="A22" s="146" t="inlineStr">
        <is>
          <t>── OBJECTION HANDLER</t>
        </is>
      </c>
      <c r="B22" s="146" t="inlineStr"/>
    </row>
    <row r="23" ht="58" customHeight="1">
      <c r="A23" s="147" t="inlineStr">
        <is>
          <t>We have consultants</t>
        </is>
      </c>
      <c r="B23" s="147" t="inlineStr">
        <is>
          <t>"Great — we're your backup, not replacement. If your main vendor is slow or stock runs dry, we deliver in 48 hours."</t>
        </is>
      </c>
    </row>
    <row r="24" ht="58" customHeight="1">
      <c r="A24" s="148" t="inlineStr">
        <is>
          <t>We hire directly</t>
        </is>
      </c>
      <c r="B24" s="148" t="inlineStr">
        <is>
          <t>"Direct is great for senior roles. For 15–30 BPO hires/month, our pre-screened pool cuts your sourcing time by 60%."</t>
        </is>
      </c>
    </row>
    <row r="25" ht="37" customHeight="1">
      <c r="A25" s="147" t="inlineStr">
        <is>
          <t>Budget is tight</t>
        </is>
      </c>
      <c r="B25" s="147" t="inlineStr">
        <is>
          <t>"We work on success basis — pay only on joining. Zero upfront, zero risk."</t>
        </is>
      </c>
    </row>
    <row r="26" ht="56" customHeight="1">
      <c r="A26" s="148" t="inlineStr">
        <is>
          <t>Send CV on Naukri</t>
        </is>
      </c>
      <c r="B26" s="148" t="inlineStr">
        <is>
          <t>"Our candidates don't apply on Naukri. They're exclusive to our database. That's the advantage — no duplicates."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49" t="inlineStr">
        <is>
          <t>🚀  30-DAY MONETIZATION PLAN — Day-by-Day. Revenue-by-Revenue.</t>
        </is>
      </c>
    </row>
    <row r="2" ht="26" customHeight="1">
      <c r="A2" s="15" t="inlineStr">
        <is>
          <t>Day Range</t>
        </is>
      </c>
      <c r="B2" s="15" t="inlineStr">
        <is>
          <t>Daily Non-Negotiables</t>
        </is>
      </c>
      <c r="C2" s="15" t="inlineStr">
        <is>
          <t>Target Output</t>
        </is>
      </c>
      <c r="D2" s="15" t="inlineStr">
        <is>
          <t>Rev Goal (₹)</t>
        </is>
      </c>
      <c r="E2" s="15" t="inlineStr">
        <is>
          <t>Cost Est. (₹)</t>
        </is>
      </c>
      <c r="F2" s="15" t="inlineStr">
        <is>
          <t>Net Profit (₹)</t>
        </is>
      </c>
    </row>
    <row r="3" ht="75" customHeight="1">
      <c r="A3" s="151" t="inlineStr">
        <is>
          <t>Day 1–3
LAUNCH</t>
        </is>
      </c>
      <c r="B3" s="151" t="inlineStr">
        <is>
          <t>• Call 10 BPO employers from list
• WhatsApp 20 candidates: 'Urgent BPO'
• Collect YES replies
• Setup DAILY_WAR_ROOM tracking</t>
        </is>
      </c>
      <c r="C3" s="151" t="inlineStr">
        <is>
          <t>5 employers interested
10 candidates YES</t>
        </is>
      </c>
      <c r="D3" s="152" t="n">
        <v>0</v>
      </c>
      <c r="E3" s="153" t="n">
        <v>7000</v>
      </c>
      <c r="F3" s="153" t="n">
        <v>-7000</v>
      </c>
    </row>
    <row r="4" ht="75" customHeight="1">
      <c r="A4" s="154" t="inlineStr">
        <is>
          <t>Day 4–6
PROFILE SHARING</t>
        </is>
      </c>
      <c r="B4" s="154" t="inlineStr">
        <is>
          <t>• Share 5 profiles to each interested employer
• Schedule candidate interviews
• Pitch 48-Hr Sprint to 2 companies</t>
        </is>
      </c>
      <c r="C4" s="154" t="inlineStr">
        <is>
          <t>15 profiles shared
5 interviews confirmed</t>
        </is>
      </c>
      <c r="D4" s="155" t="n">
        <v>35000</v>
      </c>
      <c r="E4" s="156" t="n">
        <v>7000</v>
      </c>
      <c r="F4" s="155" t="n">
        <v>28000</v>
      </c>
    </row>
    <row r="5" ht="75" customHeight="1">
      <c r="A5" s="157" t="inlineStr">
        <is>
          <t>Day 7–10
INTERVIEW WEEK</t>
        </is>
      </c>
      <c r="B5" s="157" t="inlineStr">
        <is>
          <t>• Facilitate 5–10 interviews
• Follow up Offer-stage candidates
• Call 10 more: SME + Hospital sector</t>
        </is>
      </c>
      <c r="C5" s="157" t="inlineStr">
        <is>
          <t>3 offers made
1 Sprint sold</t>
        </is>
      </c>
      <c r="D5" s="158" t="n">
        <v>0</v>
      </c>
      <c r="E5" s="159" t="n">
        <v>7000</v>
      </c>
      <c r="F5" s="159" t="n">
        <v>-7000</v>
      </c>
    </row>
    <row r="6" ht="75" customHeight="1">
      <c r="A6" s="160" t="inlineStr">
        <is>
          <t>Day 11–15
FIRST CLOSURES</t>
        </is>
      </c>
      <c r="B6" s="160" t="inlineStr">
        <is>
          <t>• Push Offer candidates to join
• Raise first invoice on joining
• Start Retail + Coaching outreach</t>
        </is>
      </c>
      <c r="C6" s="160" t="inlineStr">
        <is>
          <t>2–3 joinings
First revenue in bank</t>
        </is>
      </c>
      <c r="D6" s="161" t="n">
        <v>24000</v>
      </c>
      <c r="E6" s="162" t="n">
        <v>7000</v>
      </c>
      <c r="F6" s="161" t="n">
        <v>17000</v>
      </c>
    </row>
    <row r="7" ht="75" customHeight="1">
      <c r="A7" s="163" t="inlineStr">
        <is>
          <t>Day 16–20
SCALE</t>
        </is>
      </c>
      <c r="B7" s="163" t="inlineStr">
        <is>
          <t>• 20 employer calls/day
• Add 50 new candidates to DB
• Offer 2nd Sprint package
• Follow all active pipeline</t>
        </is>
      </c>
      <c r="C7" s="163" t="inlineStr">
        <is>
          <t>5 new employers pipeline
50 candidates added</t>
        </is>
      </c>
      <c r="D7" s="164" t="n">
        <v>16000</v>
      </c>
      <c r="E7" s="165" t="n">
        <v>7000</v>
      </c>
      <c r="F7" s="164" t="n">
        <v>9000</v>
      </c>
    </row>
    <row r="8" ht="75" customHeight="1">
      <c r="A8" s="166" t="inlineStr">
        <is>
          <t>Day 21–25
RETAINER</t>
        </is>
      </c>
      <c r="B8" s="166" t="inlineStr">
        <is>
          <t>• Pitch monthly retainer to top 3 BPO clients
• Close all Offer-stage deals
• Send client performance report</t>
        </is>
      </c>
      <c r="C8" s="166" t="inlineStr">
        <is>
          <t>1–2 retainer clients
5+ more joinings</t>
        </is>
      </c>
      <c r="D8" s="167" t="n">
        <v>60000</v>
      </c>
      <c r="E8" s="168" t="n">
        <v>7000</v>
      </c>
      <c r="F8" s="167" t="n">
        <v>53000</v>
      </c>
    </row>
    <row r="9" ht="75" customHeight="1">
      <c r="A9" s="169" t="inlineStr">
        <is>
          <t>Day 26–30
MONTH CLOSE</t>
        </is>
      </c>
      <c r="B9" s="169" t="inlineStr">
        <is>
          <t>• Close all pending placements
• Invoice all Joined candidates
• Plan Month 2: 200 calls, 500 candidates
• Update CLIENT_MASTER sheet</t>
        </is>
      </c>
      <c r="C9" s="169" t="inlineStr">
        <is>
          <t>Total: 10–15 placements
Retainer + Per-hire</t>
        </is>
      </c>
      <c r="D9" s="170" t="n">
        <v>80000</v>
      </c>
      <c r="E9" s="171" t="n">
        <v>7000</v>
      </c>
      <c r="F9" s="170" t="n">
        <v>73000</v>
      </c>
    </row>
    <row r="10" ht="42" customHeight="1">
      <c r="A10" s="172" t="inlineStr">
        <is>
          <t>30-DAY TOTALS →</t>
        </is>
      </c>
      <c r="D10" s="9" t="n">
        <v>215000</v>
      </c>
      <c r="E10" s="12" t="n">
        <v>49000</v>
      </c>
      <c r="F10" s="173" t="n">
        <v>166000</v>
      </c>
    </row>
  </sheetData>
  <mergeCells count="2">
    <mergeCell ref="A10:C10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28" customWidth="1" min="5" max="5"/>
    <col width="22" customWidth="1" min="6" max="6"/>
    <col width="11" customWidth="1" min="7" max="7"/>
    <col width="13" customWidth="1" min="8" max="8"/>
    <col width="13" customWidth="1" min="9" max="9"/>
    <col width="14" customWidth="1" min="10" max="10"/>
    <col width="13" customWidth="1" min="11" max="11"/>
    <col width="16" customWidth="1" min="12" max="12"/>
  </cols>
  <sheetData>
    <row r="1" ht="42" customHeight="1">
      <c r="A1" s="49" t="inlineStr">
        <is>
          <t>🤖  AI OUTREACH TRACKER — Monitor Every Touch. Every Reply. Every Deal.</t>
        </is>
      </c>
    </row>
    <row r="2" ht="26" customHeight="1">
      <c r="A2" s="15" t="inlineStr">
        <is>
          <t>Company</t>
        </is>
      </c>
      <c r="B2" s="15" t="inlineStr">
        <is>
          <t>HR Name</t>
        </is>
      </c>
      <c r="C2" s="15" t="inlineStr">
        <is>
          <t>Industry</t>
        </is>
      </c>
      <c r="D2" s="15" t="inlineStr">
        <is>
          <t>City</t>
        </is>
      </c>
      <c r="E2" s="15" t="inlineStr">
        <is>
          <t>Email</t>
        </is>
      </c>
      <c r="F2" s="15" t="inlineStr">
        <is>
          <t>LinkedIn URL</t>
        </is>
      </c>
      <c r="G2" s="15" t="inlineStr">
        <is>
          <t>Email Sent</t>
        </is>
      </c>
      <c r="H2" s="15" t="inlineStr">
        <is>
          <t>LinkedIn Sent</t>
        </is>
      </c>
      <c r="I2" s="15" t="inlineStr">
        <is>
          <t>Reply Received</t>
        </is>
      </c>
      <c r="J2" s="15" t="inlineStr">
        <is>
          <t>Reply Type</t>
        </is>
      </c>
      <c r="K2" s="15" t="inlineStr">
        <is>
          <t>Call Scheduled</t>
        </is>
      </c>
      <c r="L2" s="15" t="inlineStr">
        <is>
          <t>Deal Status</t>
        </is>
      </c>
    </row>
    <row r="3" ht="20" customHeight="1">
      <c r="A3" s="230" t="inlineStr">
        <is>
          <t>Teleperformance</t>
        </is>
      </c>
      <c r="B3" s="230" t="inlineStr">
        <is>
          <t>Sneha Tiwari</t>
        </is>
      </c>
      <c r="C3" s="231" t="inlineStr">
        <is>
          <t>BPO</t>
        </is>
      </c>
      <c r="D3" s="231" t="inlineStr">
        <is>
          <t>Kanpur</t>
        </is>
      </c>
      <c r="E3" s="230" t="inlineStr">
        <is>
          <t>sneha@teleperformance.com</t>
        </is>
      </c>
      <c r="F3" s="230" t="inlineStr">
        <is>
          <t>linkedin.com/in/sneha-tiwari</t>
        </is>
      </c>
      <c r="G3" s="232" t="inlineStr">
        <is>
          <t>Yes</t>
        </is>
      </c>
      <c r="H3" s="232" t="inlineStr">
        <is>
          <t>Yes</t>
        </is>
      </c>
      <c r="I3" s="232" t="inlineStr">
        <is>
          <t>Yes</t>
        </is>
      </c>
      <c r="J3" s="232" t="inlineStr">
        <is>
          <t>Positive</t>
        </is>
      </c>
      <c r="K3" s="232" t="inlineStr">
        <is>
          <t>Yes</t>
        </is>
      </c>
      <c r="L3" s="233" t="inlineStr">
        <is>
          <t>In Pipeline</t>
        </is>
      </c>
    </row>
    <row r="4" ht="20" customHeight="1">
      <c r="A4" s="234" t="inlineStr">
        <is>
          <t>iEnergizer</t>
        </is>
      </c>
      <c r="B4" s="234" t="inlineStr">
        <is>
          <t>Priya Singh</t>
        </is>
      </c>
      <c r="C4" s="235" t="inlineStr">
        <is>
          <t>BPO</t>
        </is>
      </c>
      <c r="D4" s="235" t="inlineStr">
        <is>
          <t>Lucknow</t>
        </is>
      </c>
      <c r="E4" s="234" t="inlineStr">
        <is>
          <t>priya@ienergizer.com</t>
        </is>
      </c>
      <c r="F4" s="234" t="inlineStr">
        <is>
          <t>linkedin.com/in/priya-singh</t>
        </is>
      </c>
      <c r="G4" s="232" t="inlineStr">
        <is>
          <t>Yes</t>
        </is>
      </c>
      <c r="H4" s="232" t="inlineStr">
        <is>
          <t>Yes</t>
        </is>
      </c>
      <c r="I4" s="236" t="inlineStr">
        <is>
          <t>No</t>
        </is>
      </c>
      <c r="J4" s="237" t="inlineStr">
        <is>
          <t>No Reply</t>
        </is>
      </c>
      <c r="K4" s="236" t="inlineStr">
        <is>
          <t>No</t>
        </is>
      </c>
      <c r="L4" s="238" t="inlineStr">
        <is>
          <t>Email Sent</t>
        </is>
      </c>
    </row>
    <row r="5" ht="20" customHeight="1">
      <c r="A5" s="230" t="inlineStr">
        <is>
          <t>Genpact</t>
        </is>
      </c>
      <c r="B5" s="230" t="inlineStr">
        <is>
          <t>Nisha Agarwal</t>
        </is>
      </c>
      <c r="C5" s="231" t="inlineStr">
        <is>
          <t>BPO</t>
        </is>
      </c>
      <c r="D5" s="231" t="inlineStr">
        <is>
          <t>Noida</t>
        </is>
      </c>
      <c r="E5" s="230" t="inlineStr">
        <is>
          <t>nisha@genpact.com</t>
        </is>
      </c>
      <c r="F5" s="230" t="inlineStr">
        <is>
          <t>linkedin.com/in/nisha-agarwal</t>
        </is>
      </c>
      <c r="G5" s="232" t="inlineStr">
        <is>
          <t>Yes</t>
        </is>
      </c>
      <c r="H5" s="236" t="inlineStr">
        <is>
          <t>No</t>
        </is>
      </c>
      <c r="I5" s="236" t="inlineStr">
        <is>
          <t>No</t>
        </is>
      </c>
      <c r="J5" s="237" t="inlineStr">
        <is>
          <t>No Reply</t>
        </is>
      </c>
      <c r="K5" s="236" t="inlineStr">
        <is>
          <t>No</t>
        </is>
      </c>
      <c r="L5" s="238" t="inlineStr">
        <is>
          <t>Email Sent</t>
        </is>
      </c>
    </row>
    <row r="6" ht="20" customHeight="1">
      <c r="A6" s="234" t="inlineStr">
        <is>
          <t>Fortis Hospital</t>
        </is>
      </c>
      <c r="B6" s="234" t="inlineStr">
        <is>
          <t>Sunita Bhatt</t>
        </is>
      </c>
      <c r="C6" s="235" t="inlineStr">
        <is>
          <t>Hospital</t>
        </is>
      </c>
      <c r="D6" s="235" t="inlineStr">
        <is>
          <t>Noida</t>
        </is>
      </c>
      <c r="E6" s="234" t="inlineStr">
        <is>
          <t>sunita@fortis.com</t>
        </is>
      </c>
      <c r="F6" s="234" t="inlineStr">
        <is>
          <t>linkedin.com/in/sunita-bhatt</t>
        </is>
      </c>
      <c r="G6" s="232" t="inlineStr">
        <is>
          <t>Yes</t>
        </is>
      </c>
      <c r="H6" s="232" t="inlineStr">
        <is>
          <t>Yes</t>
        </is>
      </c>
      <c r="I6" s="232" t="inlineStr">
        <is>
          <t>Yes</t>
        </is>
      </c>
      <c r="J6" s="232" t="inlineStr">
        <is>
          <t>Positive</t>
        </is>
      </c>
      <c r="K6" s="232" t="inlineStr">
        <is>
          <t>Yes</t>
        </is>
      </c>
      <c r="L6" s="239" t="inlineStr">
        <is>
          <t>Call Booked</t>
        </is>
      </c>
    </row>
    <row r="7" ht="20" customHeight="1">
      <c r="A7" s="230" t="inlineStr">
        <is>
          <t>Narayana Health</t>
        </is>
      </c>
      <c r="B7" s="230" t="inlineStr">
        <is>
          <t>Ankita Sharma</t>
        </is>
      </c>
      <c r="C7" s="231" t="inlineStr">
        <is>
          <t>Hospital</t>
        </is>
      </c>
      <c r="D7" s="231" t="inlineStr">
        <is>
          <t>Jaipur</t>
        </is>
      </c>
      <c r="E7" s="230" t="inlineStr">
        <is>
          <t>ankita@narayanahealth.org</t>
        </is>
      </c>
      <c r="F7" s="230" t="inlineStr">
        <is>
          <t>linkedin.com/in/ankita</t>
        </is>
      </c>
      <c r="G7" s="232" t="inlineStr">
        <is>
          <t>Yes</t>
        </is>
      </c>
      <c r="H7" s="236" t="inlineStr">
        <is>
          <t>No</t>
        </is>
      </c>
      <c r="I7" s="236" t="inlineStr">
        <is>
          <t>No</t>
        </is>
      </c>
      <c r="J7" s="237" t="inlineStr">
        <is>
          <t>No Reply</t>
        </is>
      </c>
      <c r="K7" s="236" t="inlineStr">
        <is>
          <t>No</t>
        </is>
      </c>
      <c r="L7" s="240" t="inlineStr">
        <is>
          <t>Not Started</t>
        </is>
      </c>
    </row>
    <row r="8" ht="20" customHeight="1">
      <c r="A8" s="234" t="inlineStr">
        <is>
          <t>Shiprocket</t>
        </is>
      </c>
      <c r="B8" s="234" t="inlineStr">
        <is>
          <t>Gaurav Ahluwalia</t>
        </is>
      </c>
      <c r="C8" s="235" t="inlineStr">
        <is>
          <t>IT/Startup</t>
        </is>
      </c>
      <c r="D8" s="235" t="inlineStr">
        <is>
          <t>Noida</t>
        </is>
      </c>
      <c r="E8" s="234" t="inlineStr">
        <is>
          <t>gaurav@shiprocket.com</t>
        </is>
      </c>
      <c r="F8" s="234" t="inlineStr">
        <is>
          <t>linkedin.com/in/gaurav-a</t>
        </is>
      </c>
      <c r="G8" s="236" t="inlineStr">
        <is>
          <t>No</t>
        </is>
      </c>
      <c r="H8" s="232" t="inlineStr">
        <is>
          <t>Yes</t>
        </is>
      </c>
      <c r="I8" s="232" t="inlineStr">
        <is>
          <t>Yes</t>
        </is>
      </c>
      <c r="J8" s="241" t="inlineStr">
        <is>
          <t>Follow-up</t>
        </is>
      </c>
      <c r="K8" s="236" t="inlineStr">
        <is>
          <t>No</t>
        </is>
      </c>
      <c r="L8" s="242" t="inlineStr">
        <is>
          <t>LinkedIn Sent</t>
        </is>
      </c>
    </row>
    <row r="9" ht="20" customHeight="1">
      <c r="A9" s="230" t="inlineStr">
        <is>
          <t>V-Mart Retail</t>
        </is>
      </c>
      <c r="B9" s="230" t="inlineStr">
        <is>
          <t>Navin Gupta</t>
        </is>
      </c>
      <c r="C9" s="231" t="inlineStr">
        <is>
          <t>Retail</t>
        </is>
      </c>
      <c r="D9" s="231" t="inlineStr">
        <is>
          <t>Lucknow</t>
        </is>
      </c>
      <c r="E9" s="230" t="inlineStr">
        <is>
          <t>navin@vmart.co.in</t>
        </is>
      </c>
      <c r="F9" s="230" t="inlineStr">
        <is>
          <t>linkedin.com/in/navin-gupta</t>
        </is>
      </c>
      <c r="G9" s="232" t="inlineStr">
        <is>
          <t>Yes</t>
        </is>
      </c>
      <c r="H9" s="232" t="inlineStr">
        <is>
          <t>Yes</t>
        </is>
      </c>
      <c r="I9" s="236" t="inlineStr">
        <is>
          <t>No</t>
        </is>
      </c>
      <c r="J9" s="237" t="inlineStr">
        <is>
          <t>No Reply</t>
        </is>
      </c>
      <c r="K9" s="236" t="inlineStr">
        <is>
          <t>No</t>
        </is>
      </c>
      <c r="L9" s="243" t="inlineStr">
        <is>
          <t>Both Sent</t>
        </is>
      </c>
    </row>
    <row r="10" ht="20" customHeight="1">
      <c r="A10" s="234" t="inlineStr">
        <is>
          <t>IndiaMart</t>
        </is>
      </c>
      <c r="B10" s="234" t="inlineStr">
        <is>
          <t>Ritika Singh</t>
        </is>
      </c>
      <c r="C10" s="235" t="inlineStr">
        <is>
          <t>SME</t>
        </is>
      </c>
      <c r="D10" s="235" t="inlineStr">
        <is>
          <t>Noida</t>
        </is>
      </c>
      <c r="E10" s="234" t="inlineStr">
        <is>
          <t>ritika@indiamart.com</t>
        </is>
      </c>
      <c r="F10" s="234" t="inlineStr">
        <is>
          <t>linkedin.com/in/ritika-singh</t>
        </is>
      </c>
      <c r="G10" s="236" t="inlineStr">
        <is>
          <t>No</t>
        </is>
      </c>
      <c r="H10" s="236" t="inlineStr">
        <is>
          <t>No</t>
        </is>
      </c>
      <c r="I10" s="236" t="inlineStr">
        <is>
          <t>No</t>
        </is>
      </c>
      <c r="J10" s="237" t="inlineStr">
        <is>
          <t>No Reply</t>
        </is>
      </c>
      <c r="K10" s="236" t="inlineStr">
        <is>
          <t>No</t>
        </is>
      </c>
      <c r="L10" s="240" t="inlineStr">
        <is>
          <t>Not Started</t>
        </is>
      </c>
    </row>
    <row r="11" ht="20" customHeight="1">
      <c r="A11" s="230" t="inlineStr">
        <is>
          <t>Sutherland Global</t>
        </is>
      </c>
      <c r="B11" s="230" t="inlineStr">
        <is>
          <t>Vikram Singh</t>
        </is>
      </c>
      <c r="C11" s="231" t="inlineStr">
        <is>
          <t>BPO</t>
        </is>
      </c>
      <c r="D11" s="231" t="inlineStr">
        <is>
          <t>Jaipur</t>
        </is>
      </c>
      <c r="E11" s="230" t="inlineStr">
        <is>
          <t>vikram@sutherland.com</t>
        </is>
      </c>
      <c r="F11" s="230" t="inlineStr">
        <is>
          <t>linkedin.com/in/vikram-s</t>
        </is>
      </c>
      <c r="G11" s="232" t="inlineStr">
        <is>
          <t>Yes</t>
        </is>
      </c>
      <c r="H11" s="232" t="inlineStr">
        <is>
          <t>Yes</t>
        </is>
      </c>
      <c r="I11" s="232" t="inlineStr">
        <is>
          <t>Yes</t>
        </is>
      </c>
      <c r="J11" s="232" t="inlineStr">
        <is>
          <t>Positive</t>
        </is>
      </c>
      <c r="K11" s="232" t="inlineStr">
        <is>
          <t>Yes</t>
        </is>
      </c>
      <c r="L11" s="233" t="inlineStr">
        <is>
          <t>In Pipeline</t>
        </is>
      </c>
    </row>
    <row r="12" ht="20" customHeight="1">
      <c r="A12" s="234" t="inlineStr">
        <is>
          <t>Concentrix</t>
        </is>
      </c>
      <c r="B12" s="234" t="inlineStr">
        <is>
          <t>Amit Verma</t>
        </is>
      </c>
      <c r="C12" s="235" t="inlineStr">
        <is>
          <t>BPO</t>
        </is>
      </c>
      <c r="D12" s="235" t="inlineStr">
        <is>
          <t>Lucknow</t>
        </is>
      </c>
      <c r="E12" s="234" t="inlineStr">
        <is>
          <t>amit@concentrix.com</t>
        </is>
      </c>
      <c r="F12" s="234" t="inlineStr">
        <is>
          <t>linkedin.com/in/amit-verma</t>
        </is>
      </c>
      <c r="G12" s="232" t="inlineStr">
        <is>
          <t>Yes</t>
        </is>
      </c>
      <c r="H12" s="236" t="inlineStr">
        <is>
          <t>No</t>
        </is>
      </c>
      <c r="I12" s="236" t="inlineStr">
        <is>
          <t>No</t>
        </is>
      </c>
      <c r="J12" s="237" t="inlineStr">
        <is>
          <t>No Reply</t>
        </is>
      </c>
      <c r="K12" s="236" t="inlineStr">
        <is>
          <t>No</t>
        </is>
      </c>
      <c r="L12" s="238" t="inlineStr">
        <is>
          <t>Email Sent</t>
        </is>
      </c>
    </row>
    <row r="13" ht="20" customHeight="1">
      <c r="A13" s="231" t="inlineStr"/>
      <c r="B13" s="231" t="inlineStr"/>
      <c r="C13" s="231" t="inlineStr"/>
      <c r="D13" s="231" t="inlineStr"/>
      <c r="E13" s="231" t="inlineStr"/>
      <c r="F13" s="231" t="inlineStr"/>
      <c r="G13" s="231" t="inlineStr"/>
      <c r="H13" s="231" t="inlineStr"/>
      <c r="I13" s="231" t="inlineStr"/>
      <c r="J13" s="231" t="inlineStr"/>
      <c r="K13" s="231" t="inlineStr"/>
      <c r="L13" s="231" t="inlineStr"/>
    </row>
    <row r="14" ht="20" customHeight="1">
      <c r="A14" s="235" t="inlineStr"/>
      <c r="B14" s="235" t="inlineStr"/>
      <c r="C14" s="235" t="inlineStr"/>
      <c r="D14" s="235" t="inlineStr"/>
      <c r="E14" s="235" t="inlineStr"/>
      <c r="F14" s="235" t="inlineStr"/>
      <c r="G14" s="235" t="inlineStr"/>
      <c r="H14" s="235" t="inlineStr"/>
      <c r="I14" s="235" t="inlineStr"/>
      <c r="J14" s="235" t="inlineStr"/>
      <c r="K14" s="235" t="inlineStr"/>
      <c r="L14" s="235" t="inlineStr"/>
    </row>
    <row r="15" ht="20" customHeight="1">
      <c r="A15" s="231" t="inlineStr"/>
      <c r="B15" s="231" t="inlineStr"/>
      <c r="C15" s="231" t="inlineStr"/>
      <c r="D15" s="231" t="inlineStr"/>
      <c r="E15" s="231" t="inlineStr"/>
      <c r="F15" s="231" t="inlineStr"/>
      <c r="G15" s="231" t="inlineStr"/>
      <c r="H15" s="231" t="inlineStr"/>
      <c r="I15" s="231" t="inlineStr"/>
      <c r="J15" s="231" t="inlineStr"/>
      <c r="K15" s="231" t="inlineStr"/>
      <c r="L15" s="231" t="inlineStr"/>
    </row>
    <row r="16" ht="20" customHeight="1">
      <c r="A16" s="235" t="inlineStr"/>
      <c r="B16" s="235" t="inlineStr"/>
      <c r="C16" s="235" t="inlineStr"/>
      <c r="D16" s="235" t="inlineStr"/>
      <c r="E16" s="235" t="inlineStr"/>
      <c r="F16" s="235" t="inlineStr"/>
      <c r="G16" s="235" t="inlineStr"/>
      <c r="H16" s="235" t="inlineStr"/>
      <c r="I16" s="235" t="inlineStr"/>
      <c r="J16" s="235" t="inlineStr"/>
      <c r="K16" s="235" t="inlineStr"/>
      <c r="L16" s="235" t="inlineStr"/>
    </row>
    <row r="17" ht="20" customHeight="1">
      <c r="A17" s="231" t="inlineStr"/>
      <c r="B17" s="231" t="inlineStr"/>
      <c r="C17" s="231" t="inlineStr"/>
      <c r="D17" s="231" t="inlineStr"/>
      <c r="E17" s="231" t="inlineStr"/>
      <c r="F17" s="231" t="inlineStr"/>
      <c r="G17" s="231" t="inlineStr"/>
      <c r="H17" s="231" t="inlineStr"/>
      <c r="I17" s="231" t="inlineStr"/>
      <c r="J17" s="231" t="inlineStr"/>
      <c r="K17" s="231" t="inlineStr"/>
      <c r="L17" s="231" t="inlineStr"/>
    </row>
    <row r="18" ht="20" customHeight="1">
      <c r="A18" s="235" t="inlineStr"/>
      <c r="B18" s="235" t="inlineStr"/>
      <c r="C18" s="235" t="inlineStr"/>
      <c r="D18" s="235" t="inlineStr"/>
      <c r="E18" s="235" t="inlineStr"/>
      <c r="F18" s="235" t="inlineStr"/>
      <c r="G18" s="235" t="inlineStr"/>
      <c r="H18" s="235" t="inlineStr"/>
      <c r="I18" s="235" t="inlineStr"/>
      <c r="J18" s="235" t="inlineStr"/>
      <c r="K18" s="235" t="inlineStr"/>
      <c r="L18" s="235" t="inlineStr"/>
    </row>
    <row r="19" ht="20" customHeight="1">
      <c r="A19" s="231" t="inlineStr"/>
      <c r="B19" s="231" t="inlineStr"/>
      <c r="C19" s="231" t="inlineStr"/>
      <c r="D19" s="231" t="inlineStr"/>
      <c r="E19" s="231" t="inlineStr"/>
      <c r="F19" s="231" t="inlineStr"/>
      <c r="G19" s="231" t="inlineStr"/>
      <c r="H19" s="231" t="inlineStr"/>
      <c r="I19" s="231" t="inlineStr"/>
      <c r="J19" s="231" t="inlineStr"/>
      <c r="K19" s="231" t="inlineStr"/>
      <c r="L19" s="231" t="inlineStr"/>
    </row>
    <row r="20" ht="20" customHeight="1">
      <c r="A20" s="235" t="inlineStr"/>
      <c r="B20" s="235" t="inlineStr"/>
      <c r="C20" s="235" t="inlineStr"/>
      <c r="D20" s="235" t="inlineStr"/>
      <c r="E20" s="235" t="inlineStr"/>
      <c r="F20" s="235" t="inlineStr"/>
      <c r="G20" s="235" t="inlineStr"/>
      <c r="H20" s="235" t="inlineStr"/>
      <c r="I20" s="235" t="inlineStr"/>
      <c r="J20" s="235" t="inlineStr"/>
      <c r="K20" s="235" t="inlineStr"/>
      <c r="L20" s="235" t="inlineStr"/>
    </row>
    <row r="21" ht="20" customHeight="1">
      <c r="A21" s="231" t="inlineStr"/>
      <c r="B21" s="231" t="inlineStr"/>
      <c r="C21" s="231" t="inlineStr"/>
      <c r="D21" s="231" t="inlineStr"/>
      <c r="E21" s="231" t="inlineStr"/>
      <c r="F21" s="231" t="inlineStr"/>
      <c r="G21" s="231" t="inlineStr"/>
      <c r="H21" s="231" t="inlineStr"/>
      <c r="I21" s="231" t="inlineStr"/>
      <c r="J21" s="231" t="inlineStr"/>
      <c r="K21" s="231" t="inlineStr"/>
      <c r="L21" s="231" t="inlineStr"/>
    </row>
    <row r="22" ht="20" customHeight="1">
      <c r="A22" s="235" t="inlineStr"/>
      <c r="B22" s="235" t="inlineStr"/>
      <c r="C22" s="235" t="inlineStr"/>
      <c r="D22" s="235" t="inlineStr"/>
      <c r="E22" s="235" t="inlineStr"/>
      <c r="F22" s="235" t="inlineStr"/>
      <c r="G22" s="235" t="inlineStr"/>
      <c r="H22" s="235" t="inlineStr"/>
      <c r="I22" s="235" t="inlineStr"/>
      <c r="J22" s="235" t="inlineStr"/>
      <c r="K22" s="235" t="inlineStr"/>
      <c r="L22" s="235" t="inlineStr"/>
    </row>
    <row r="24" ht="22" customHeight="1">
      <c r="A24" s="215" t="inlineStr">
        <is>
          <t>📊  OUTREACH SUMMARY — Channel Intelligence</t>
        </is>
      </c>
    </row>
    <row r="25" ht="24" customHeight="1">
      <c r="A25" s="216" t="inlineStr">
        <is>
          <t>Total Contacted</t>
        </is>
      </c>
      <c r="B25" s="244">
        <f>COUNTA(A3:A22)</f>
        <v/>
      </c>
    </row>
    <row r="26" ht="24" customHeight="1">
      <c r="A26" s="221" t="inlineStr">
        <is>
          <t>Emails Sent</t>
        </is>
      </c>
      <c r="B26" s="245">
        <f>COUNTIF(G3:G22,"Yes")</f>
        <v/>
      </c>
    </row>
    <row r="27" ht="24" customHeight="1">
      <c r="A27" s="226" t="inlineStr">
        <is>
          <t>LinkedIn Sent</t>
        </is>
      </c>
      <c r="B27" s="246">
        <f>COUNTIF(H3:H22,"Yes")</f>
        <v/>
      </c>
    </row>
    <row r="28" ht="24" customHeight="1">
      <c r="A28" s="221" t="inlineStr">
        <is>
          <t>Replies Received</t>
        </is>
      </c>
      <c r="B28" s="245">
        <f>COUNTIF(I3:I22,"Yes")</f>
        <v/>
      </c>
    </row>
    <row r="29" ht="24" customHeight="1">
      <c r="A29" s="221" t="inlineStr">
        <is>
          <t>Positive Replies</t>
        </is>
      </c>
      <c r="B29" s="245">
        <f>COUNTIF(J3:J22,"Positive")</f>
        <v/>
      </c>
    </row>
    <row r="30" ht="24" customHeight="1">
      <c r="A30" s="247" t="inlineStr">
        <is>
          <t>Calls Scheduled</t>
        </is>
      </c>
      <c r="B30" s="248">
        <f>COUNTIF(K3:K22,"Yes")</f>
        <v/>
      </c>
    </row>
    <row r="31" ht="24" customHeight="1">
      <c r="A31" s="228" t="inlineStr">
        <is>
          <t>In Pipeline</t>
        </is>
      </c>
      <c r="B31" s="249">
        <f>COUNTIF(L3:L22,"In Pipeline")</f>
        <v/>
      </c>
    </row>
    <row r="32" ht="24" customHeight="1">
      <c r="A32" s="228" t="inlineStr">
        <is>
          <t>Reply Rate %</t>
        </is>
      </c>
      <c r="B32" s="250">
        <f>IF(COUNTA(A3:A22)&gt;0,COUNTIF(I3:I22,"Yes")/COUNTA(A3:A22),0)</f>
        <v/>
      </c>
    </row>
    <row r="33" ht="24" customHeight="1">
      <c r="A33" s="221" t="inlineStr">
        <is>
          <t>Call Conv %</t>
        </is>
      </c>
      <c r="B33" s="251">
        <f>IF(COUNTIF(I3:I22,"Yes")&gt;0,COUNTIF(K3:K22,"Yes")/COUNTIF(I3:I22,"Yes"),0)</f>
        <v/>
      </c>
    </row>
  </sheetData>
  <autoFilter ref="A2:L12"/>
  <mergeCells count="2">
    <mergeCell ref="A24:L24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5" customWidth="1" min="5" max="5"/>
    <col width="16" customWidth="1" min="6" max="6"/>
    <col width="12" customWidth="1" min="7" max="7"/>
    <col width="14" customWidth="1" min="8" max="8"/>
    <col width="12" customWidth="1" min="9" max="9"/>
    <col width="17" customWidth="1" min="10" max="10"/>
    <col width="22" customWidth="1" min="11" max="11"/>
    <col width="14" customWidth="1" min="12" max="12"/>
  </cols>
  <sheetData>
    <row r="1" ht="42" customHeight="1">
      <c r="A1" s="49" t="inlineStr">
        <is>
          <t>🧑‍💼  CANDIDATE POOL — Supply Engine. Speed. Revenue.</t>
        </is>
      </c>
    </row>
    <row r="2" ht="26" customHeight="1">
      <c r="A2" s="15" t="inlineStr">
        <is>
          <t>Candidate Name</t>
        </is>
      </c>
      <c r="B2" s="15" t="inlineStr">
        <is>
          <t>Skill Vertical</t>
        </is>
      </c>
      <c r="C2" s="15" t="inlineStr">
        <is>
          <t>City</t>
        </is>
      </c>
      <c r="D2" s="15" t="inlineStr">
        <is>
          <t>Exp (Yrs)</t>
        </is>
      </c>
      <c r="E2" s="15" t="inlineStr">
        <is>
          <t>Current Salary (₹)</t>
        </is>
      </c>
      <c r="F2" s="15" t="inlineStr">
        <is>
          <t>Expected Salary (₹)</t>
        </is>
      </c>
      <c r="G2" s="15" t="inlineStr">
        <is>
          <t>Source</t>
        </is>
      </c>
      <c r="H2" s="15" t="inlineStr">
        <is>
          <t>English Fluency</t>
        </is>
      </c>
      <c r="I2" s="15" t="inlineStr">
        <is>
          <t>Ready to Join</t>
        </is>
      </c>
      <c r="J2" s="15" t="inlineStr">
        <is>
          <t>Notice Period (Days)</t>
        </is>
      </c>
      <c r="K2" s="15" t="inlineStr">
        <is>
          <t>Submitted To</t>
        </is>
      </c>
      <c r="L2" s="15" t="inlineStr">
        <is>
          <t>Status</t>
        </is>
      </c>
    </row>
    <row r="3" ht="20" customHeight="1">
      <c r="A3" s="252" t="inlineStr">
        <is>
          <t>Priya Verma</t>
        </is>
      </c>
      <c r="B3" s="253" t="inlineStr">
        <is>
          <t>BPO/Voice</t>
        </is>
      </c>
      <c r="C3" s="253" t="inlineStr">
        <is>
          <t>Lucknow</t>
        </is>
      </c>
      <c r="D3" s="253" t="n">
        <v>1</v>
      </c>
      <c r="E3" s="254" t="n">
        <v>14000</v>
      </c>
      <c r="F3" s="254" t="n">
        <v>18000</v>
      </c>
      <c r="G3" s="232" t="inlineStr">
        <is>
          <t>WhatsApp</t>
        </is>
      </c>
      <c r="H3" s="252" t="inlineStr">
        <is>
          <t>Fluent</t>
        </is>
      </c>
      <c r="I3" s="232" t="inlineStr">
        <is>
          <t>Yes</t>
        </is>
      </c>
      <c r="J3" s="253" t="n">
        <v>0</v>
      </c>
      <c r="K3" s="252" t="inlineStr">
        <is>
          <t>Concentrix</t>
        </is>
      </c>
      <c r="L3" s="255" t="inlineStr">
        <is>
          <t>Submitted</t>
        </is>
      </c>
    </row>
    <row r="4" ht="20" customHeight="1">
      <c r="A4" s="252" t="inlineStr">
        <is>
          <t>Rohit Gupta</t>
        </is>
      </c>
      <c r="B4" s="253" t="inlineStr">
        <is>
          <t>BPO/Voice</t>
        </is>
      </c>
      <c r="C4" s="253" t="inlineStr">
        <is>
          <t>Lucknow</t>
        </is>
      </c>
      <c r="D4" s="253" t="n">
        <v>0</v>
      </c>
      <c r="E4" s="254" t="n">
        <v>0</v>
      </c>
      <c r="F4" s="254" t="n">
        <v>13000</v>
      </c>
      <c r="G4" s="232" t="inlineStr">
        <is>
          <t>WhatsApp</t>
        </is>
      </c>
      <c r="H4" s="252" t="inlineStr">
        <is>
          <t>Intermediate</t>
        </is>
      </c>
      <c r="I4" s="232" t="inlineStr">
        <is>
          <t>Yes</t>
        </is>
      </c>
      <c r="J4" s="253" t="n">
        <v>0</v>
      </c>
      <c r="K4" s="252" t="inlineStr">
        <is>
          <t>iEnergizer</t>
        </is>
      </c>
      <c r="L4" s="255" t="inlineStr">
        <is>
          <t>Submitted</t>
        </is>
      </c>
    </row>
    <row r="5" ht="20" customHeight="1">
      <c r="A5" s="252" t="inlineStr">
        <is>
          <t>Megha Tiwari</t>
        </is>
      </c>
      <c r="B5" s="253" t="inlineStr">
        <is>
          <t>BPO/Voice</t>
        </is>
      </c>
      <c r="C5" s="253" t="inlineStr">
        <is>
          <t>Kanpur</t>
        </is>
      </c>
      <c r="D5" s="253" t="n">
        <v>3</v>
      </c>
      <c r="E5" s="254" t="n">
        <v>28000</v>
      </c>
      <c r="F5" s="254" t="n">
        <v>32000</v>
      </c>
      <c r="G5" s="256" t="inlineStr">
        <is>
          <t>LinkedIn</t>
        </is>
      </c>
      <c r="H5" s="252" t="inlineStr">
        <is>
          <t>Fluent</t>
        </is>
      </c>
      <c r="I5" s="236" t="inlineStr">
        <is>
          <t>No</t>
        </is>
      </c>
      <c r="J5" s="253" t="n">
        <v>30</v>
      </c>
      <c r="K5" s="252" t="inlineStr">
        <is>
          <t>Genpact</t>
        </is>
      </c>
      <c r="L5" s="243" t="inlineStr">
        <is>
          <t>Interviewing</t>
        </is>
      </c>
    </row>
    <row r="6" ht="20" customHeight="1">
      <c r="A6" s="257" t="inlineStr">
        <is>
          <t>Shailendra Verma</t>
        </is>
      </c>
      <c r="B6" s="232" t="inlineStr">
        <is>
          <t>Sales</t>
        </is>
      </c>
      <c r="C6" s="232" t="inlineStr">
        <is>
          <t>Indore</t>
        </is>
      </c>
      <c r="D6" s="232" t="n">
        <v>2</v>
      </c>
      <c r="E6" s="258" t="n">
        <v>15000</v>
      </c>
      <c r="F6" s="258" t="n">
        <v>18000</v>
      </c>
      <c r="G6" s="253" t="inlineStr">
        <is>
          <t>Naukri</t>
        </is>
      </c>
      <c r="H6" s="257" t="inlineStr">
        <is>
          <t>Intermediate</t>
        </is>
      </c>
      <c r="I6" s="232" t="inlineStr">
        <is>
          <t>Yes</t>
        </is>
      </c>
      <c r="J6" s="232" t="n">
        <v>15</v>
      </c>
      <c r="K6" s="257" t="inlineStr">
        <is>
          <t>Shiprocket</t>
        </is>
      </c>
      <c r="L6" s="238" t="inlineStr">
        <is>
          <t>Available</t>
        </is>
      </c>
    </row>
    <row r="7" ht="20" customHeight="1">
      <c r="A7" s="252" t="inlineStr">
        <is>
          <t>Riya Srivastava</t>
        </is>
      </c>
      <c r="B7" s="253" t="inlineStr">
        <is>
          <t>BPO/Voice</t>
        </is>
      </c>
      <c r="C7" s="253" t="inlineStr">
        <is>
          <t>Lucknow</t>
        </is>
      </c>
      <c r="D7" s="253" t="n">
        <v>1</v>
      </c>
      <c r="E7" s="254" t="n">
        <v>17000</v>
      </c>
      <c r="F7" s="254" t="n">
        <v>20000</v>
      </c>
      <c r="G7" s="253" t="inlineStr">
        <is>
          <t>Database</t>
        </is>
      </c>
      <c r="H7" s="252" t="inlineStr">
        <is>
          <t>Intermediate</t>
        </is>
      </c>
      <c r="I7" s="232" t="inlineStr">
        <is>
          <t>Yes</t>
        </is>
      </c>
      <c r="J7" s="253" t="n">
        <v>0</v>
      </c>
      <c r="K7" s="252" t="inlineStr">
        <is>
          <t>WNS Global</t>
        </is>
      </c>
      <c r="L7" s="255" t="inlineStr">
        <is>
          <t>Submitted</t>
        </is>
      </c>
    </row>
    <row r="8" ht="20" customHeight="1">
      <c r="A8" s="259" t="inlineStr">
        <is>
          <t>Satish Yadav</t>
        </is>
      </c>
      <c r="B8" s="260" t="inlineStr">
        <is>
          <t>IT/Tech</t>
        </is>
      </c>
      <c r="C8" s="260" t="inlineStr">
        <is>
          <t>Noida</t>
        </is>
      </c>
      <c r="D8" s="260" t="n">
        <v>5</v>
      </c>
      <c r="E8" s="261" t="n">
        <v>55000</v>
      </c>
      <c r="F8" s="261" t="n">
        <v>65000</v>
      </c>
      <c r="G8" s="256" t="inlineStr">
        <is>
          <t>LinkedIn</t>
        </is>
      </c>
      <c r="H8" s="259" t="inlineStr">
        <is>
          <t>Proficient</t>
        </is>
      </c>
      <c r="I8" s="236" t="inlineStr">
        <is>
          <t>No</t>
        </is>
      </c>
      <c r="J8" s="260" t="n">
        <v>60</v>
      </c>
      <c r="K8" s="259" t="inlineStr"/>
      <c r="L8" s="238" t="inlineStr">
        <is>
          <t>Available</t>
        </is>
      </c>
    </row>
    <row r="9" ht="20" customHeight="1">
      <c r="A9" s="257" t="inlineStr">
        <is>
          <t>Ankita Dubey</t>
        </is>
      </c>
      <c r="B9" s="232" t="inlineStr">
        <is>
          <t>Sales</t>
        </is>
      </c>
      <c r="C9" s="232" t="inlineStr">
        <is>
          <t>Noida</t>
        </is>
      </c>
      <c r="D9" s="232" t="n">
        <v>2</v>
      </c>
      <c r="E9" s="258" t="n">
        <v>15000</v>
      </c>
      <c r="F9" s="258" t="n">
        <v>18000</v>
      </c>
      <c r="G9" s="241" t="inlineStr">
        <is>
          <t>Referral</t>
        </is>
      </c>
      <c r="H9" s="257" t="inlineStr">
        <is>
          <t>Fluent</t>
        </is>
      </c>
      <c r="I9" s="232" t="inlineStr">
        <is>
          <t>Yes</t>
        </is>
      </c>
      <c r="J9" s="232" t="n">
        <v>0</v>
      </c>
      <c r="K9" s="257" t="inlineStr">
        <is>
          <t>IndiaMart</t>
        </is>
      </c>
      <c r="L9" s="238" t="inlineStr">
        <is>
          <t>Available</t>
        </is>
      </c>
    </row>
    <row r="10" ht="20" customHeight="1">
      <c r="A10" s="262" t="inlineStr">
        <is>
          <t>Neha Gupta</t>
        </is>
      </c>
      <c r="B10" s="236" t="inlineStr">
        <is>
          <t>Hospital/Health</t>
        </is>
      </c>
      <c r="C10" s="236" t="inlineStr">
        <is>
          <t>Noida</t>
        </is>
      </c>
      <c r="D10" s="236" t="n">
        <v>4</v>
      </c>
      <c r="E10" s="263" t="n">
        <v>28000</v>
      </c>
      <c r="F10" s="263" t="n">
        <v>32000</v>
      </c>
      <c r="G10" s="264" t="inlineStr">
        <is>
          <t>Walk-in</t>
        </is>
      </c>
      <c r="H10" s="262" t="inlineStr">
        <is>
          <t>Intermediate</t>
        </is>
      </c>
      <c r="I10" s="232" t="inlineStr">
        <is>
          <t>Yes</t>
        </is>
      </c>
      <c r="J10" s="236" t="n">
        <v>7</v>
      </c>
      <c r="K10" s="262" t="inlineStr">
        <is>
          <t>Fortis Hospital</t>
        </is>
      </c>
      <c r="L10" s="265" t="inlineStr">
        <is>
          <t>Joined</t>
        </is>
      </c>
    </row>
    <row r="11" ht="20" customHeight="1">
      <c r="A11" s="262" t="inlineStr">
        <is>
          <t>Pallavi Singh</t>
        </is>
      </c>
      <c r="B11" s="236" t="inlineStr">
        <is>
          <t>Hospital/Health</t>
        </is>
      </c>
      <c r="C11" s="236" t="inlineStr">
        <is>
          <t>Jaipur</t>
        </is>
      </c>
      <c r="D11" s="236" t="n">
        <v>6</v>
      </c>
      <c r="E11" s="263" t="n">
        <v>50000</v>
      </c>
      <c r="F11" s="263" t="n">
        <v>58000</v>
      </c>
      <c r="G11" s="253" t="inlineStr">
        <is>
          <t>Naukri</t>
        </is>
      </c>
      <c r="H11" s="262" t="inlineStr">
        <is>
          <t>Basic</t>
        </is>
      </c>
      <c r="I11" s="236" t="inlineStr">
        <is>
          <t>No</t>
        </is>
      </c>
      <c r="J11" s="236" t="n">
        <v>30</v>
      </c>
      <c r="K11" s="262" t="inlineStr">
        <is>
          <t>KGMU Hospital</t>
        </is>
      </c>
      <c r="L11" s="265" t="inlineStr">
        <is>
          <t>Joined</t>
        </is>
      </c>
    </row>
    <row r="12" ht="20" customHeight="1">
      <c r="A12" s="262" t="inlineStr">
        <is>
          <t>Deepak Kumar</t>
        </is>
      </c>
      <c r="B12" s="236" t="inlineStr">
        <is>
          <t>Hospital/Health</t>
        </is>
      </c>
      <c r="C12" s="236" t="inlineStr">
        <is>
          <t>Indore</t>
        </is>
      </c>
      <c r="D12" s="236" t="n">
        <v>3</v>
      </c>
      <c r="E12" s="263" t="n">
        <v>35000</v>
      </c>
      <c r="F12" s="263" t="n">
        <v>42000</v>
      </c>
      <c r="G12" s="266" t="inlineStr">
        <is>
          <t>Meta Ads</t>
        </is>
      </c>
      <c r="H12" s="262" t="inlineStr">
        <is>
          <t>Intermediate</t>
        </is>
      </c>
      <c r="I12" s="232" t="inlineStr">
        <is>
          <t>Yes</t>
        </is>
      </c>
      <c r="J12" s="236" t="n">
        <v>15</v>
      </c>
      <c r="K12" s="262" t="inlineStr">
        <is>
          <t>Narayana Hospital</t>
        </is>
      </c>
      <c r="L12" s="265" t="inlineStr">
        <is>
          <t>Joined</t>
        </is>
      </c>
    </row>
    <row r="13" ht="20" customHeight="1">
      <c r="A13" s="259" t="inlineStr">
        <is>
          <t>Gaurav Singh</t>
        </is>
      </c>
      <c r="B13" s="260" t="inlineStr">
        <is>
          <t>IT/Tech</t>
        </is>
      </c>
      <c r="C13" s="260" t="inlineStr">
        <is>
          <t>Indore</t>
        </is>
      </c>
      <c r="D13" s="260" t="n">
        <v>8</v>
      </c>
      <c r="E13" s="261" t="n">
        <v>60000</v>
      </c>
      <c r="F13" s="261" t="n">
        <v>68000</v>
      </c>
      <c r="G13" s="256" t="inlineStr">
        <is>
          <t>LinkedIn</t>
        </is>
      </c>
      <c r="H13" s="259" t="inlineStr">
        <is>
          <t>Fluent</t>
        </is>
      </c>
      <c r="I13" s="236" t="inlineStr">
        <is>
          <t>No</t>
        </is>
      </c>
      <c r="J13" s="260" t="n">
        <v>45</v>
      </c>
      <c r="K13" s="259" t="inlineStr"/>
      <c r="L13" s="238" t="inlineStr">
        <is>
          <t>Available</t>
        </is>
      </c>
    </row>
    <row r="14" ht="20" customHeight="1">
      <c r="A14" s="267" t="inlineStr">
        <is>
          <t>Monika Verma</t>
        </is>
      </c>
      <c r="B14" s="268" t="inlineStr">
        <is>
          <t>Retail/Ops</t>
        </is>
      </c>
      <c r="C14" s="268" t="inlineStr">
        <is>
          <t>Indore</t>
        </is>
      </c>
      <c r="D14" s="268" t="n">
        <v>2</v>
      </c>
      <c r="E14" s="269" t="n">
        <v>13000</v>
      </c>
      <c r="F14" s="269" t="n">
        <v>16000</v>
      </c>
      <c r="G14" s="232" t="inlineStr">
        <is>
          <t>WhatsApp</t>
        </is>
      </c>
      <c r="H14" s="267" t="inlineStr">
        <is>
          <t>Basic</t>
        </is>
      </c>
      <c r="I14" s="232" t="inlineStr">
        <is>
          <t>Yes</t>
        </is>
      </c>
      <c r="J14" s="268" t="n">
        <v>0</v>
      </c>
      <c r="K14" s="267" t="inlineStr">
        <is>
          <t>V-Mart Retail</t>
        </is>
      </c>
      <c r="L14" s="238" t="inlineStr">
        <is>
          <t>Available</t>
        </is>
      </c>
    </row>
    <row r="15" ht="20" customHeight="1">
      <c r="A15" s="257" t="inlineStr">
        <is>
          <t>Pradeep Joshi</t>
        </is>
      </c>
      <c r="B15" s="232" t="inlineStr">
        <is>
          <t>Sales</t>
        </is>
      </c>
      <c r="C15" s="232" t="inlineStr">
        <is>
          <t>Jaipur</t>
        </is>
      </c>
      <c r="D15" s="232" t="n">
        <v>1</v>
      </c>
      <c r="E15" s="258" t="n">
        <v>11000</v>
      </c>
      <c r="F15" s="258" t="n">
        <v>14000</v>
      </c>
      <c r="G15" s="232" t="inlineStr">
        <is>
          <t>WhatsApp</t>
        </is>
      </c>
      <c r="H15" s="257" t="inlineStr">
        <is>
          <t>Basic</t>
        </is>
      </c>
      <c r="I15" s="232" t="inlineStr">
        <is>
          <t>Yes</t>
        </is>
      </c>
      <c r="J15" s="232" t="n">
        <v>0</v>
      </c>
      <c r="K15" s="257" t="inlineStr"/>
      <c r="L15" s="238" t="inlineStr">
        <is>
          <t>Available</t>
        </is>
      </c>
    </row>
    <row r="16" ht="20" customHeight="1">
      <c r="A16" s="252" t="inlineStr">
        <is>
          <t>Ritika Bajpai</t>
        </is>
      </c>
      <c r="B16" s="253" t="inlineStr">
        <is>
          <t>BPO/Voice</t>
        </is>
      </c>
      <c r="C16" s="253" t="inlineStr">
        <is>
          <t>Kanpur</t>
        </is>
      </c>
      <c r="D16" s="253" t="n">
        <v>2</v>
      </c>
      <c r="E16" s="254" t="n">
        <v>18000</v>
      </c>
      <c r="F16" s="254" t="n">
        <v>22000</v>
      </c>
      <c r="G16" s="253" t="inlineStr">
        <is>
          <t>Database</t>
        </is>
      </c>
      <c r="H16" s="252" t="inlineStr">
        <is>
          <t>Intermediate</t>
        </is>
      </c>
      <c r="I16" s="232" t="inlineStr">
        <is>
          <t>Yes</t>
        </is>
      </c>
      <c r="J16" s="253" t="n">
        <v>15</v>
      </c>
      <c r="K16" s="252" t="inlineStr">
        <is>
          <t>Mphasis BPO</t>
        </is>
      </c>
      <c r="L16" s="238" t="inlineStr">
        <is>
          <t>Available</t>
        </is>
      </c>
    </row>
    <row r="17" ht="20" customHeight="1">
      <c r="A17" s="252" t="inlineStr">
        <is>
          <t>Rajeev Kumar</t>
        </is>
      </c>
      <c r="B17" s="253" t="inlineStr">
        <is>
          <t>BPO/Voice</t>
        </is>
      </c>
      <c r="C17" s="253" t="inlineStr">
        <is>
          <t>Noida</t>
        </is>
      </c>
      <c r="D17" s="253" t="n">
        <v>2</v>
      </c>
      <c r="E17" s="254" t="n">
        <v>17000</v>
      </c>
      <c r="F17" s="254" t="n">
        <v>21000</v>
      </c>
      <c r="G17" s="253" t="inlineStr">
        <is>
          <t>Database</t>
        </is>
      </c>
      <c r="H17" s="252" t="inlineStr">
        <is>
          <t>Intermediate</t>
        </is>
      </c>
      <c r="I17" s="232" t="inlineStr">
        <is>
          <t>Yes</t>
        </is>
      </c>
      <c r="J17" s="253" t="n">
        <v>0</v>
      </c>
      <c r="K17" s="252" t="inlineStr">
        <is>
          <t>Concentrix</t>
        </is>
      </c>
      <c r="L17" s="238" t="inlineStr">
        <is>
          <t>Available</t>
        </is>
      </c>
    </row>
    <row r="18" ht="20" customHeight="1">
      <c r="A18" s="235" t="inlineStr"/>
      <c r="B18" s="235" t="inlineStr"/>
      <c r="C18" s="235" t="inlineStr"/>
      <c r="D18" s="235" t="inlineStr"/>
      <c r="E18" s="235" t="inlineStr"/>
      <c r="F18" s="235" t="inlineStr"/>
      <c r="G18" s="235" t="inlineStr"/>
      <c r="H18" s="235" t="inlineStr"/>
      <c r="I18" s="235" t="inlineStr"/>
      <c r="J18" s="235" t="inlineStr"/>
      <c r="K18" s="235" t="inlineStr"/>
      <c r="L18" s="235" t="inlineStr"/>
    </row>
    <row r="19" ht="20" customHeight="1">
      <c r="A19" s="231" t="inlineStr"/>
      <c r="B19" s="231" t="inlineStr"/>
      <c r="C19" s="231" t="inlineStr"/>
      <c r="D19" s="231" t="inlineStr"/>
      <c r="E19" s="231" t="inlineStr"/>
      <c r="F19" s="231" t="inlineStr"/>
      <c r="G19" s="231" t="inlineStr"/>
      <c r="H19" s="231" t="inlineStr"/>
      <c r="I19" s="231" t="inlineStr"/>
      <c r="J19" s="231" t="inlineStr"/>
      <c r="K19" s="231" t="inlineStr"/>
      <c r="L19" s="231" t="inlineStr"/>
    </row>
    <row r="20" ht="20" customHeight="1">
      <c r="A20" s="235" t="inlineStr"/>
      <c r="B20" s="235" t="inlineStr"/>
      <c r="C20" s="235" t="inlineStr"/>
      <c r="D20" s="235" t="inlineStr"/>
      <c r="E20" s="235" t="inlineStr"/>
      <c r="F20" s="235" t="inlineStr"/>
      <c r="G20" s="235" t="inlineStr"/>
      <c r="H20" s="235" t="inlineStr"/>
      <c r="I20" s="235" t="inlineStr"/>
      <c r="J20" s="235" t="inlineStr"/>
      <c r="K20" s="235" t="inlineStr"/>
      <c r="L20" s="235" t="inlineStr"/>
    </row>
    <row r="21" ht="20" customHeight="1">
      <c r="A21" s="231" t="inlineStr"/>
      <c r="B21" s="231" t="inlineStr"/>
      <c r="C21" s="231" t="inlineStr"/>
      <c r="D21" s="231" t="inlineStr"/>
      <c r="E21" s="231" t="inlineStr"/>
      <c r="F21" s="231" t="inlineStr"/>
      <c r="G21" s="231" t="inlineStr"/>
      <c r="H21" s="231" t="inlineStr"/>
      <c r="I21" s="231" t="inlineStr"/>
      <c r="J21" s="231" t="inlineStr"/>
      <c r="K21" s="231" t="inlineStr"/>
      <c r="L21" s="231" t="inlineStr"/>
    </row>
    <row r="22" ht="20" customHeight="1">
      <c r="A22" s="235" t="inlineStr"/>
      <c r="B22" s="235" t="inlineStr"/>
      <c r="C22" s="235" t="inlineStr"/>
      <c r="D22" s="235" t="inlineStr"/>
      <c r="E22" s="235" t="inlineStr"/>
      <c r="F22" s="235" t="inlineStr"/>
      <c r="G22" s="235" t="inlineStr"/>
      <c r="H22" s="235" t="inlineStr"/>
      <c r="I22" s="235" t="inlineStr"/>
      <c r="J22" s="235" t="inlineStr"/>
      <c r="K22" s="235" t="inlineStr"/>
      <c r="L22" s="235" t="inlineStr"/>
    </row>
    <row r="23" ht="20" customHeight="1">
      <c r="A23" s="231" t="inlineStr"/>
      <c r="B23" s="231" t="inlineStr"/>
      <c r="C23" s="231" t="inlineStr"/>
      <c r="D23" s="231" t="inlineStr"/>
      <c r="E23" s="231" t="inlineStr"/>
      <c r="F23" s="231" t="inlineStr"/>
      <c r="G23" s="231" t="inlineStr"/>
      <c r="H23" s="231" t="inlineStr"/>
      <c r="I23" s="231" t="inlineStr"/>
      <c r="J23" s="231" t="inlineStr"/>
      <c r="K23" s="231" t="inlineStr"/>
      <c r="L23" s="231" t="inlineStr"/>
    </row>
    <row r="24" ht="20" customHeight="1">
      <c r="A24" s="235" t="inlineStr"/>
      <c r="B24" s="235" t="inlineStr"/>
      <c r="C24" s="235" t="inlineStr"/>
      <c r="D24" s="235" t="inlineStr"/>
      <c r="E24" s="235" t="inlineStr"/>
      <c r="F24" s="235" t="inlineStr"/>
      <c r="G24" s="235" t="inlineStr"/>
      <c r="H24" s="235" t="inlineStr"/>
      <c r="I24" s="235" t="inlineStr"/>
      <c r="J24" s="235" t="inlineStr"/>
      <c r="K24" s="235" t="inlineStr"/>
      <c r="L24" s="235" t="inlineStr"/>
    </row>
    <row r="25" ht="20" customHeight="1">
      <c r="A25" s="231" t="inlineStr"/>
      <c r="B25" s="231" t="inlineStr"/>
      <c r="C25" s="231" t="inlineStr"/>
      <c r="D25" s="231" t="inlineStr"/>
      <c r="E25" s="231" t="inlineStr"/>
      <c r="F25" s="231" t="inlineStr"/>
      <c r="G25" s="231" t="inlineStr"/>
      <c r="H25" s="231" t="inlineStr"/>
      <c r="I25" s="231" t="inlineStr"/>
      <c r="J25" s="231" t="inlineStr"/>
      <c r="K25" s="231" t="inlineStr"/>
      <c r="L25" s="231" t="inlineStr"/>
    </row>
    <row r="26" ht="20" customHeight="1">
      <c r="A26" s="235" t="inlineStr"/>
      <c r="B26" s="235" t="inlineStr"/>
      <c r="C26" s="235" t="inlineStr"/>
      <c r="D26" s="235" t="inlineStr"/>
      <c r="E26" s="235" t="inlineStr"/>
      <c r="F26" s="235" t="inlineStr"/>
      <c r="G26" s="235" t="inlineStr"/>
      <c r="H26" s="235" t="inlineStr"/>
      <c r="I26" s="235" t="inlineStr"/>
      <c r="J26" s="235" t="inlineStr"/>
      <c r="K26" s="235" t="inlineStr"/>
      <c r="L26" s="235" t="inlineStr"/>
    </row>
    <row r="27" ht="20" customHeight="1">
      <c r="A27" s="231" t="inlineStr"/>
      <c r="B27" s="231" t="inlineStr"/>
      <c r="C27" s="231" t="inlineStr"/>
      <c r="D27" s="231" t="inlineStr"/>
      <c r="E27" s="231" t="inlineStr"/>
      <c r="F27" s="231" t="inlineStr"/>
      <c r="G27" s="231" t="inlineStr"/>
      <c r="H27" s="231" t="inlineStr"/>
      <c r="I27" s="231" t="inlineStr"/>
      <c r="J27" s="231" t="inlineStr"/>
      <c r="K27" s="231" t="inlineStr"/>
      <c r="L27" s="231" t="inlineStr"/>
    </row>
    <row r="29" ht="22" customHeight="1">
      <c r="A29" s="215" t="inlineStr">
        <is>
          <t>📊  POOL SUMMARY</t>
        </is>
      </c>
    </row>
    <row r="30" ht="24" customHeight="1">
      <c r="A30" s="216" t="inlineStr">
        <is>
          <t>Total Candidates</t>
        </is>
      </c>
      <c r="B30" s="270">
        <f>COUNTA(A3:A27)</f>
        <v/>
      </c>
    </row>
    <row r="31" ht="24" customHeight="1">
      <c r="A31" s="221" t="inlineStr">
        <is>
          <t>Ready to Join</t>
        </is>
      </c>
      <c r="B31" s="271">
        <f>COUNTIF(I3:I27,"Yes")</f>
        <v/>
      </c>
    </row>
    <row r="32" ht="24" customHeight="1">
      <c r="A32" s="228" t="inlineStr">
        <is>
          <t>Submitted</t>
        </is>
      </c>
      <c r="B32" s="272">
        <f>COUNTIF(L3:L27,"Submitted")</f>
        <v/>
      </c>
    </row>
    <row r="33" ht="24" customHeight="1">
      <c r="A33" s="273" t="inlineStr">
        <is>
          <t>Interviewing</t>
        </is>
      </c>
      <c r="B33" s="274">
        <f>COUNTIF(L3:L27,"Interviewing")</f>
        <v/>
      </c>
    </row>
    <row r="34" ht="24" customHeight="1">
      <c r="A34" s="221" t="inlineStr">
        <is>
          <t>Joined / Placed</t>
        </is>
      </c>
      <c r="B34" s="271">
        <f>COUNTIF(L3:L27,"Joined")</f>
        <v/>
      </c>
    </row>
    <row r="35" ht="24" customHeight="1">
      <c r="A35" s="221" t="inlineStr">
        <is>
          <t>Placement Rate %</t>
        </is>
      </c>
      <c r="B35" s="275">
        <f>IF(COUNTA(A3:A27)&gt;0,COUNTIF(L3:L27,"Joined")/COUNTA(A3:A27),0)</f>
        <v/>
      </c>
    </row>
  </sheetData>
  <autoFilter ref="A2:L17"/>
  <mergeCells count="2">
    <mergeCell ref="A29:L29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5" customWidth="1" min="4" max="4"/>
    <col width="17" customWidth="1" min="5" max="5"/>
    <col width="13" customWidth="1" min="6" max="6"/>
    <col width="17" customWidth="1" min="7" max="7"/>
    <col width="14" customWidth="1" min="8" max="8"/>
    <col width="13" customWidth="1" min="9" max="9"/>
    <col width="26" customWidth="1" min="10" max="10"/>
  </cols>
  <sheetData>
    <row r="1" ht="42" customHeight="1">
      <c r="A1" s="49" t="inlineStr">
        <is>
          <t>📈  REVENUE FORECAST — See Your Money Before It Arrives</t>
        </is>
      </c>
    </row>
    <row r="2" ht="26" customHeight="1">
      <c r="A2" s="15" t="inlineStr">
        <is>
          <t>Company</t>
        </is>
      </c>
      <c r="B2" s="15" t="inlineStr">
        <is>
          <t>Role Vertical</t>
        </is>
      </c>
      <c r="C2" s="15" t="inlineStr">
        <is>
          <t>Hiring Volume</t>
        </is>
      </c>
      <c r="D2" s="15" t="inlineStr">
        <is>
          <t>Fee per Hire (₹)</t>
        </is>
      </c>
      <c r="E2" s="15" t="inlineStr">
        <is>
          <t>Total Deal Value (₹)</t>
        </is>
      </c>
      <c r="F2" s="15" t="inlineStr">
        <is>
          <t>Probability %</t>
        </is>
      </c>
      <c r="G2" s="15" t="inlineStr">
        <is>
          <t>Expected Revenue (₹)</t>
        </is>
      </c>
      <c r="H2" s="15" t="inlineStr">
        <is>
          <t>Deal Stage</t>
        </is>
      </c>
      <c r="I2" s="15" t="inlineStr">
        <is>
          <t>Closing Month</t>
        </is>
      </c>
      <c r="J2" s="15" t="inlineStr">
        <is>
          <t>Notes</t>
        </is>
      </c>
    </row>
    <row r="3" ht="20" customHeight="1">
      <c r="A3" s="230" t="inlineStr">
        <is>
          <t>Teleperformance</t>
        </is>
      </c>
      <c r="B3" s="230" t="inlineStr">
        <is>
          <t>BPO/Voice</t>
        </is>
      </c>
      <c r="C3" s="231" t="n">
        <v>70</v>
      </c>
      <c r="D3" s="276" t="n">
        <v>8000</v>
      </c>
      <c r="E3" s="277" t="n">
        <v>560000</v>
      </c>
      <c r="F3" s="278" t="n">
        <v>60</v>
      </c>
      <c r="G3" s="279">
        <f>E3*F3/100</f>
        <v/>
      </c>
      <c r="H3" s="243" t="inlineStr">
        <is>
          <t>Negotiation</t>
        </is>
      </c>
      <c r="I3" s="231" t="inlineStr">
        <is>
          <t>Month 2</t>
        </is>
      </c>
      <c r="J3" s="230" t="inlineStr">
        <is>
          <t>Monthly retainer pitch pending</t>
        </is>
      </c>
    </row>
    <row r="4" ht="20" customHeight="1">
      <c r="A4" s="234" t="inlineStr">
        <is>
          <t>iEnergizer</t>
        </is>
      </c>
      <c r="B4" s="234" t="inlineStr">
        <is>
          <t>BPO/Voice</t>
        </is>
      </c>
      <c r="C4" s="235" t="n">
        <v>60</v>
      </c>
      <c r="D4" s="280" t="n">
        <v>8000</v>
      </c>
      <c r="E4" s="277" t="n">
        <v>480000</v>
      </c>
      <c r="F4" s="278" t="n">
        <v>70</v>
      </c>
      <c r="G4" s="279">
        <f>E4*F4/100</f>
        <v/>
      </c>
      <c r="H4" s="243" t="inlineStr">
        <is>
          <t>Negotiation</t>
        </is>
      </c>
      <c r="I4" s="235" t="inlineStr">
        <is>
          <t>Month 1</t>
        </is>
      </c>
      <c r="J4" s="234" t="inlineStr">
        <is>
          <t>Strong warmth — close this week</t>
        </is>
      </c>
    </row>
    <row r="5" ht="20" customHeight="1">
      <c r="A5" s="230" t="inlineStr">
        <is>
          <t>Sutherland Global</t>
        </is>
      </c>
      <c r="B5" s="230" t="inlineStr">
        <is>
          <t>BPO/Voice</t>
        </is>
      </c>
      <c r="C5" s="231" t="n">
        <v>55</v>
      </c>
      <c r="D5" s="276" t="n">
        <v>8000</v>
      </c>
      <c r="E5" s="277" t="n">
        <v>440000</v>
      </c>
      <c r="F5" s="281" t="n">
        <v>50</v>
      </c>
      <c r="G5" s="279">
        <f>E5*F5/100</f>
        <v/>
      </c>
      <c r="H5" s="238" t="inlineStr">
        <is>
          <t>Qualified</t>
        </is>
      </c>
      <c r="I5" s="231" t="inlineStr">
        <is>
          <t>Month 2</t>
        </is>
      </c>
      <c r="J5" s="230" t="inlineStr">
        <is>
          <t>Follow up after intro call</t>
        </is>
      </c>
    </row>
    <row r="6" ht="20" customHeight="1">
      <c r="A6" s="234" t="inlineStr">
        <is>
          <t>Genpact</t>
        </is>
      </c>
      <c r="B6" s="234" t="inlineStr">
        <is>
          <t>BPO/Voice</t>
        </is>
      </c>
      <c r="C6" s="235" t="n">
        <v>45</v>
      </c>
      <c r="D6" s="280" t="n">
        <v>8000</v>
      </c>
      <c r="E6" s="277" t="n">
        <v>360000</v>
      </c>
      <c r="F6" s="281" t="n">
        <v>40</v>
      </c>
      <c r="G6" s="279">
        <f>E6*F6/100</f>
        <v/>
      </c>
      <c r="H6" s="240" t="inlineStr">
        <is>
          <t>Prospect</t>
        </is>
      </c>
      <c r="I6" s="235" t="inlineStr">
        <is>
          <t>Month 3</t>
        </is>
      </c>
      <c r="J6" s="234" t="inlineStr">
        <is>
          <t>Cold — needs 3 more touches</t>
        </is>
      </c>
    </row>
    <row r="7" ht="20" customHeight="1">
      <c r="A7" s="230" t="inlineStr">
        <is>
          <t>Concentrix</t>
        </is>
      </c>
      <c r="B7" s="230" t="inlineStr">
        <is>
          <t>BPO/Voice</t>
        </is>
      </c>
      <c r="C7" s="231" t="n">
        <v>40</v>
      </c>
      <c r="D7" s="276" t="n">
        <v>8000</v>
      </c>
      <c r="E7" s="277" t="n">
        <v>320000</v>
      </c>
      <c r="F7" s="281" t="n">
        <v>55</v>
      </c>
      <c r="G7" s="279">
        <f>E7*F7/100</f>
        <v/>
      </c>
      <c r="H7" s="238" t="inlineStr">
        <is>
          <t>Qualified</t>
        </is>
      </c>
      <c r="I7" s="231" t="inlineStr">
        <is>
          <t>Month 2</t>
        </is>
      </c>
      <c r="J7" s="230" t="inlineStr">
        <is>
          <t>Profile submission pending</t>
        </is>
      </c>
    </row>
    <row r="8" ht="20" customHeight="1">
      <c r="A8" s="234" t="inlineStr">
        <is>
          <t>Fortis Hospital</t>
        </is>
      </c>
      <c r="B8" s="234" t="inlineStr">
        <is>
          <t>Hospital</t>
        </is>
      </c>
      <c r="C8" s="235" t="n">
        <v>20</v>
      </c>
      <c r="D8" s="280" t="n">
        <v>10000</v>
      </c>
      <c r="E8" s="277" t="n">
        <v>200000</v>
      </c>
      <c r="F8" s="278" t="n">
        <v>60</v>
      </c>
      <c r="G8" s="279">
        <f>E8*F8/100</f>
        <v/>
      </c>
      <c r="H8" s="243" t="inlineStr">
        <is>
          <t>Negotiation</t>
        </is>
      </c>
      <c r="I8" s="235" t="inlineStr">
        <is>
          <t>Month 1</t>
        </is>
      </c>
      <c r="J8" s="234" t="inlineStr">
        <is>
          <t>2 nurses placed — trust built</t>
        </is>
      </c>
    </row>
    <row r="9" ht="20" customHeight="1">
      <c r="A9" s="230" t="inlineStr">
        <is>
          <t>KGMU Hospital</t>
        </is>
      </c>
      <c r="B9" s="230" t="inlineStr">
        <is>
          <t>Hospital</t>
        </is>
      </c>
      <c r="C9" s="231" t="n">
        <v>20</v>
      </c>
      <c r="D9" s="276" t="n">
        <v>10000</v>
      </c>
      <c r="E9" s="277" t="n">
        <v>200000</v>
      </c>
      <c r="F9" s="281" t="n">
        <v>40</v>
      </c>
      <c r="G9" s="279">
        <f>E9*F9/100</f>
        <v/>
      </c>
      <c r="H9" s="240" t="inlineStr">
        <is>
          <t>Prospect</t>
        </is>
      </c>
      <c r="I9" s="231" t="inlineStr">
        <is>
          <t>Month 3</t>
        </is>
      </c>
      <c r="J9" s="230" t="inlineStr">
        <is>
          <t>Government — slow process</t>
        </is>
      </c>
    </row>
    <row r="10" ht="20" customHeight="1">
      <c r="A10" s="234" t="inlineStr">
        <is>
          <t>Narayana Hospital</t>
        </is>
      </c>
      <c r="B10" s="234" t="inlineStr">
        <is>
          <t>Hospital</t>
        </is>
      </c>
      <c r="C10" s="235" t="n">
        <v>25</v>
      </c>
      <c r="D10" s="280" t="n">
        <v>10000</v>
      </c>
      <c r="E10" s="277" t="n">
        <v>250000</v>
      </c>
      <c r="F10" s="281" t="n">
        <v>50</v>
      </c>
      <c r="G10" s="279">
        <f>E10*F10/100</f>
        <v/>
      </c>
      <c r="H10" s="238" t="inlineStr">
        <is>
          <t>Qualified</t>
        </is>
      </c>
      <c r="I10" s="235" t="inlineStr">
        <is>
          <t>Month 2</t>
        </is>
      </c>
      <c r="J10" s="234" t="inlineStr">
        <is>
          <t>High volume potential</t>
        </is>
      </c>
    </row>
    <row r="11" ht="20" customHeight="1">
      <c r="A11" s="230" t="inlineStr">
        <is>
          <t>Shiprocket</t>
        </is>
      </c>
      <c r="B11" s="230" t="inlineStr">
        <is>
          <t>IT/Startup</t>
        </is>
      </c>
      <c r="C11" s="231" t="n">
        <v>15</v>
      </c>
      <c r="D11" s="276" t="n">
        <v>15000</v>
      </c>
      <c r="E11" s="277" t="n">
        <v>225000</v>
      </c>
      <c r="F11" s="281" t="n">
        <v>45</v>
      </c>
      <c r="G11" s="279">
        <f>E11*F11/100</f>
        <v/>
      </c>
      <c r="H11" s="240" t="inlineStr">
        <is>
          <t>Prospect</t>
        </is>
      </c>
      <c r="I11" s="231" t="inlineStr">
        <is>
          <t>Month 3</t>
        </is>
      </c>
      <c r="J11" s="230" t="inlineStr">
        <is>
          <t>IT vertical launch needed</t>
        </is>
      </c>
    </row>
    <row r="12" ht="20" customHeight="1">
      <c r="A12" s="234" t="inlineStr">
        <is>
          <t>IndiaMart</t>
        </is>
      </c>
      <c r="B12" s="234" t="inlineStr">
        <is>
          <t>SME</t>
        </is>
      </c>
      <c r="C12" s="235" t="n">
        <v>20</v>
      </c>
      <c r="D12" s="280" t="n">
        <v>12000</v>
      </c>
      <c r="E12" s="277" t="n">
        <v>240000</v>
      </c>
      <c r="F12" s="282" t="n">
        <v>35</v>
      </c>
      <c r="G12" s="279">
        <f>E12*F12/100</f>
        <v/>
      </c>
      <c r="H12" s="240" t="inlineStr">
        <is>
          <t>Prospect</t>
        </is>
      </c>
      <c r="I12" s="235" t="inlineStr">
        <is>
          <t>Month 4</t>
        </is>
      </c>
      <c r="J12" s="234" t="inlineStr">
        <is>
          <t>Low warmth — needs BD push</t>
        </is>
      </c>
    </row>
    <row r="13" ht="20" customHeight="1">
      <c r="A13" s="230" t="inlineStr">
        <is>
          <t>V-Mart Retail</t>
        </is>
      </c>
      <c r="B13" s="230" t="inlineStr">
        <is>
          <t>Retail</t>
        </is>
      </c>
      <c r="C13" s="231" t="n">
        <v>25</v>
      </c>
      <c r="D13" s="276" t="n">
        <v>8000</v>
      </c>
      <c r="E13" s="277" t="n">
        <v>200000</v>
      </c>
      <c r="F13" s="281" t="n">
        <v>50</v>
      </c>
      <c r="G13" s="279">
        <f>E13*F13/100</f>
        <v/>
      </c>
      <c r="H13" s="238" t="inlineStr">
        <is>
          <t>Qualified</t>
        </is>
      </c>
      <c r="I13" s="231" t="inlineStr">
        <is>
          <t>Month 2</t>
        </is>
      </c>
      <c r="J13" s="230" t="inlineStr">
        <is>
          <t>Retail hiring monthly</t>
        </is>
      </c>
    </row>
    <row r="14" ht="20" customHeight="1">
      <c r="A14" s="234" t="inlineStr">
        <is>
          <t>Allen Coaching</t>
        </is>
      </c>
      <c r="B14" s="234" t="inlineStr">
        <is>
          <t>Education</t>
        </is>
      </c>
      <c r="C14" s="235" t="n">
        <v>10</v>
      </c>
      <c r="D14" s="280" t="n">
        <v>9000</v>
      </c>
      <c r="E14" s="277" t="n">
        <v>90000</v>
      </c>
      <c r="F14" s="282" t="n">
        <v>30</v>
      </c>
      <c r="G14" s="279">
        <f>E14*F14/100</f>
        <v/>
      </c>
      <c r="H14" s="240" t="inlineStr">
        <is>
          <t>Prospect</t>
        </is>
      </c>
      <c r="I14" s="235" t="inlineStr">
        <is>
          <t>Month 5</t>
        </is>
      </c>
      <c r="J14" s="234" t="inlineStr">
        <is>
          <t>Coaching vertical TBD</t>
        </is>
      </c>
    </row>
    <row r="15" ht="20" customHeight="1">
      <c r="A15" s="230" t="inlineStr">
        <is>
          <t>Taskus India</t>
        </is>
      </c>
      <c r="B15" s="230" t="inlineStr">
        <is>
          <t>BPO/Voice</t>
        </is>
      </c>
      <c r="C15" s="231" t="n">
        <v>30</v>
      </c>
      <c r="D15" s="276" t="n">
        <v>8000</v>
      </c>
      <c r="E15" s="277" t="n">
        <v>240000</v>
      </c>
      <c r="F15" s="281" t="n">
        <v>40</v>
      </c>
      <c r="G15" s="279">
        <f>E15*F15/100</f>
        <v/>
      </c>
      <c r="H15" s="238" t="inlineStr">
        <is>
          <t>Qualified</t>
        </is>
      </c>
      <c r="I15" s="231" t="inlineStr">
        <is>
          <t>Month 3</t>
        </is>
      </c>
      <c r="J15" s="230" t="inlineStr">
        <is>
          <t>BPO — matches DB well</t>
        </is>
      </c>
    </row>
    <row r="16" ht="20" customHeight="1">
      <c r="A16" s="234" t="inlineStr">
        <is>
          <t>Mphasis BPO</t>
        </is>
      </c>
      <c r="B16" s="234" t="inlineStr">
        <is>
          <t>BPO/Voice</t>
        </is>
      </c>
      <c r="C16" s="235" t="n">
        <v>20</v>
      </c>
      <c r="D16" s="280" t="n">
        <v>8000</v>
      </c>
      <c r="E16" s="277" t="n">
        <v>160000</v>
      </c>
      <c r="F16" s="281" t="n">
        <v>50</v>
      </c>
      <c r="G16" s="279">
        <f>E16*F16/100</f>
        <v/>
      </c>
      <c r="H16" s="238" t="inlineStr">
        <is>
          <t>Qualified</t>
        </is>
      </c>
      <c r="I16" s="235" t="inlineStr">
        <is>
          <t>Month 2</t>
        </is>
      </c>
      <c r="J16" s="234" t="inlineStr">
        <is>
          <t>Kanpur BPO — warm</t>
        </is>
      </c>
    </row>
    <row r="17" ht="20" customHeight="1">
      <c r="A17" s="230" t="inlineStr">
        <is>
          <t>Firstsource</t>
        </is>
      </c>
      <c r="B17" s="230" t="inlineStr">
        <is>
          <t>BPO/Voice</t>
        </is>
      </c>
      <c r="C17" s="231" t="n">
        <v>30</v>
      </c>
      <c r="D17" s="276" t="n">
        <v>8000</v>
      </c>
      <c r="E17" s="277" t="n">
        <v>240000</v>
      </c>
      <c r="F17" s="281" t="n">
        <v>45</v>
      </c>
      <c r="G17" s="279">
        <f>E17*F17/100</f>
        <v/>
      </c>
      <c r="H17" s="240" t="inlineStr">
        <is>
          <t>Prospect</t>
        </is>
      </c>
      <c r="I17" s="231" t="inlineStr">
        <is>
          <t>Month 3</t>
        </is>
      </c>
      <c r="J17" s="230" t="inlineStr">
        <is>
          <t>Jaipur — needs intro</t>
        </is>
      </c>
    </row>
    <row r="18" ht="20" customHeight="1">
      <c r="E18" s="283" t="inlineStr">
        <is>
          <t>Total Deal Value</t>
        </is>
      </c>
      <c r="G18" s="284" t="inlineStr">
        <is>
          <t>Expected Revenue</t>
        </is>
      </c>
    </row>
    <row r="19" ht="38" customHeight="1">
      <c r="A19" s="108" t="inlineStr">
        <is>
          <t>TOTALS →</t>
        </is>
      </c>
      <c r="E19" s="285">
        <f>SUM(E3:E17)</f>
        <v/>
      </c>
      <c r="G19" s="286">
        <f>SUM(G3:G17)</f>
        <v/>
      </c>
    </row>
  </sheetData>
  <autoFilter ref="A2:J17"/>
  <mergeCells count="2">
    <mergeCell ref="A1:J1"/>
    <mergeCell ref="A19:D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4" customWidth="1" min="4" max="4"/>
    <col width="14" customWidth="1" min="5" max="5"/>
    <col width="15" customWidth="1" min="6" max="6"/>
    <col width="18" customWidth="1" min="7" max="7"/>
    <col width="18" customWidth="1" min="8" max="8"/>
    <col width="12" customWidth="1" min="9" max="9"/>
  </cols>
  <sheetData>
    <row r="1" ht="42" customHeight="1">
      <c r="A1" s="49" t="inlineStr">
        <is>
          <t>🤝  EXECUTION PARTNERS — Commission on Every Project You Can't Do Alone.</t>
        </is>
      </c>
    </row>
    <row r="2" ht="26" customHeight="1">
      <c r="A2" s="15" t="inlineStr">
        <is>
          <t>Partner Name</t>
        </is>
      </c>
      <c r="B2" s="15" t="inlineStr">
        <is>
          <t>Service Type</t>
        </is>
      </c>
      <c r="C2" s="15" t="inlineStr">
        <is>
          <t>Contact Name</t>
        </is>
      </c>
      <c r="D2" s="15" t="inlineStr">
        <is>
          <t>Phone / Email</t>
        </is>
      </c>
      <c r="E2" s="15" t="inlineStr">
        <is>
          <t>Revenue Share %</t>
        </is>
      </c>
      <c r="F2" s="15" t="inlineStr">
        <is>
          <t>Projects Delivered</t>
        </is>
      </c>
      <c r="G2" s="15" t="inlineStr">
        <is>
          <t>Total Project Rev (₹)</t>
        </is>
      </c>
      <c r="H2" s="15" t="inlineStr">
        <is>
          <t>ASR Commission (₹)</t>
        </is>
      </c>
      <c r="I2" s="15" t="inlineStr">
        <is>
          <t>Status</t>
        </is>
      </c>
    </row>
    <row r="3" ht="22" customHeight="1">
      <c r="A3" s="230" t="inlineStr">
        <is>
          <t>TechBridge Solutions</t>
        </is>
      </c>
      <c r="B3" s="259" t="inlineStr">
        <is>
          <t>Software Dev</t>
        </is>
      </c>
      <c r="C3" s="230" t="inlineStr">
        <is>
          <t>Arjun Mehta</t>
        </is>
      </c>
      <c r="D3" s="230" t="inlineStr">
        <is>
          <t>arjun@techbridge.in | +91-9812000001</t>
        </is>
      </c>
      <c r="E3" s="287" t="n">
        <v>25</v>
      </c>
      <c r="F3" s="231" t="n">
        <v>3</v>
      </c>
      <c r="G3" s="288" t="n">
        <v>600000</v>
      </c>
      <c r="H3" s="288" t="n">
        <v>150000</v>
      </c>
      <c r="I3" s="289" t="inlineStr">
        <is>
          <t>Active</t>
        </is>
      </c>
    </row>
    <row r="4" ht="22" customHeight="1">
      <c r="A4" s="234" t="inlineStr">
        <is>
          <t>DigitalFirst Agency</t>
        </is>
      </c>
      <c r="B4" s="257" t="inlineStr">
        <is>
          <t>Digital Marketing</t>
        </is>
      </c>
      <c r="C4" s="234" t="inlineStr">
        <is>
          <t>Shreya Kapoor</t>
        </is>
      </c>
      <c r="D4" s="234" t="inlineStr">
        <is>
          <t>shreya@digitalfirst.co | +91-9813000002</t>
        </is>
      </c>
      <c r="E4" s="290" t="n">
        <v>20</v>
      </c>
      <c r="F4" s="235" t="n">
        <v>5</v>
      </c>
      <c r="G4" s="291" t="n">
        <v>450000</v>
      </c>
      <c r="H4" s="291" t="n">
        <v>90000</v>
      </c>
      <c r="I4" s="289" t="inlineStr">
        <is>
          <t>Active</t>
        </is>
      </c>
    </row>
    <row r="5" ht="22" customHeight="1">
      <c r="A5" s="230" t="inlineStr">
        <is>
          <t>QuickHire BPO Partners</t>
        </is>
      </c>
      <c r="B5" s="252" t="inlineStr">
        <is>
          <t>BPO Staffing</t>
        </is>
      </c>
      <c r="C5" s="230" t="inlineStr">
        <is>
          <t>Ramesh Verma</t>
        </is>
      </c>
      <c r="D5" s="230" t="inlineStr">
        <is>
          <t>ramesh@quickhire.in | +91-9814000003</t>
        </is>
      </c>
      <c r="E5" s="287" t="n">
        <v>15</v>
      </c>
      <c r="F5" s="231" t="n">
        <v>8</v>
      </c>
      <c r="G5" s="288" t="n">
        <v>800000</v>
      </c>
      <c r="H5" s="288" t="n">
        <v>120000</v>
      </c>
      <c r="I5" s="289" t="inlineStr">
        <is>
          <t>Active</t>
        </is>
      </c>
    </row>
    <row r="6" ht="22" customHeight="1">
      <c r="A6" s="234" t="inlineStr">
        <is>
          <t>CodeCraft IT</t>
        </is>
      </c>
      <c r="B6" s="292" t="inlineStr">
        <is>
          <t>IT Support</t>
        </is>
      </c>
      <c r="C6" s="234" t="inlineStr">
        <is>
          <t>Kavita Sharma</t>
        </is>
      </c>
      <c r="D6" s="234" t="inlineStr">
        <is>
          <t>kavita@codecraft.in | +91-9815000004</t>
        </is>
      </c>
      <c r="E6" s="290" t="n">
        <v>20</v>
      </c>
      <c r="F6" s="235" t="n">
        <v>2</v>
      </c>
      <c r="G6" s="291" t="n">
        <v>200000</v>
      </c>
      <c r="H6" s="291" t="n">
        <v>40000</v>
      </c>
      <c r="I6" s="243" t="inlineStr">
        <is>
          <t>Probation</t>
        </is>
      </c>
    </row>
    <row r="7" ht="22" customHeight="1">
      <c r="A7" s="230" t="inlineStr">
        <is>
          <t>TrainRight Consulting</t>
        </is>
      </c>
      <c r="B7" s="293" t="inlineStr">
        <is>
          <t>Training</t>
        </is>
      </c>
      <c r="C7" s="230" t="inlineStr">
        <is>
          <t>Nitin Gupta</t>
        </is>
      </c>
      <c r="D7" s="230" t="inlineStr">
        <is>
          <t>nitin@trainright.co | +91-9816000005</t>
        </is>
      </c>
      <c r="E7" s="287" t="n">
        <v>25</v>
      </c>
      <c r="F7" s="231" t="n">
        <v>1</v>
      </c>
      <c r="G7" s="288" t="n">
        <v>100000</v>
      </c>
      <c r="H7" s="288" t="n">
        <v>25000</v>
      </c>
      <c r="I7" s="238" t="inlineStr">
        <is>
          <t>New</t>
        </is>
      </c>
    </row>
    <row r="8" ht="22" customHeight="1">
      <c r="A8" s="234" t="inlineStr">
        <is>
          <t>HireFirst HR</t>
        </is>
      </c>
      <c r="B8" s="267" t="inlineStr">
        <is>
          <t>HR Consulting</t>
        </is>
      </c>
      <c r="C8" s="234" t="inlineStr">
        <is>
          <t>Deepa Singh</t>
        </is>
      </c>
      <c r="D8" s="234" t="inlineStr">
        <is>
          <t>deepa@hirefirst.in | +91-9817000006</t>
        </is>
      </c>
      <c r="E8" s="290" t="n">
        <v>20</v>
      </c>
      <c r="F8" s="235" t="n">
        <v>0</v>
      </c>
      <c r="G8" s="291" t="n">
        <v>0</v>
      </c>
      <c r="H8" s="291" t="n">
        <v>0</v>
      </c>
      <c r="I8" s="255" t="inlineStr">
        <is>
          <t>Onboarding</t>
        </is>
      </c>
    </row>
    <row r="9" ht="20" customHeight="1">
      <c r="G9" s="283" t="inlineStr">
        <is>
          <t>Total Project Rev</t>
        </is>
      </c>
      <c r="H9" s="284" t="inlineStr">
        <is>
          <t>ASR Commission</t>
        </is>
      </c>
    </row>
    <row r="10" ht="38" customHeight="1">
      <c r="A10" s="108" t="inlineStr">
        <is>
          <t>PARTNER TOTALS →</t>
        </is>
      </c>
      <c r="G10" s="285">
        <f>SUM(G3:G8)</f>
        <v/>
      </c>
      <c r="H10" s="286">
        <f>SUM(H3:H8)</f>
        <v/>
      </c>
    </row>
    <row r="12" ht="22" customHeight="1">
      <c r="A12" s="2" t="inlineStr">
        <is>
          <t>💰  HOW PARTNER COMMISSION WORKS FOR ASR</t>
        </is>
      </c>
    </row>
    <row r="13" ht="22" customHeight="1">
      <c r="A13" s="294" t="inlineStr">
        <is>
          <t>Project Value</t>
        </is>
      </c>
      <c r="B13" s="294" t="inlineStr">
        <is>
          <t>Client Pays ASR</t>
        </is>
      </c>
      <c r="C13" s="294" t="inlineStr">
        <is>
          <t>ASR Keeps (20–25%)</t>
        </is>
      </c>
      <c r="D13" s="294" t="inlineStr">
        <is>
          <t>Partner Gets</t>
        </is>
      </c>
      <c r="E13" s="294" t="inlineStr">
        <is>
          <t>Example</t>
        </is>
      </c>
    </row>
    <row r="14" ht="22" customHeight="1">
      <c r="A14" s="295" t="inlineStr">
        <is>
          <t>₹10,00,000</t>
        </is>
      </c>
      <c r="B14" s="295" t="inlineStr">
        <is>
          <t>Full ₹10L to ASR</t>
        </is>
      </c>
      <c r="C14" s="295" t="inlineStr">
        <is>
          <t>₹2–2.5L stays</t>
        </is>
      </c>
      <c r="D14" s="295" t="inlineStr">
        <is>
          <t>Partner gets ₹7.5–8L</t>
        </is>
      </c>
      <c r="E14" s="295" t="inlineStr">
        <is>
          <t>BPO setup project</t>
        </is>
      </c>
    </row>
    <row r="15" ht="22" customHeight="1">
      <c r="A15" s="231" t="inlineStr">
        <is>
          <t>₹5,00,000</t>
        </is>
      </c>
      <c r="B15" s="231" t="inlineStr">
        <is>
          <t>Full ₹5L to ASR</t>
        </is>
      </c>
      <c r="C15" s="231" t="inlineStr">
        <is>
          <t>₹1.25L stays</t>
        </is>
      </c>
      <c r="D15" s="231" t="inlineStr">
        <is>
          <t>Partner gets ₹3.75L</t>
        </is>
      </c>
      <c r="E15" s="231" t="inlineStr">
        <is>
          <t>Website + app build</t>
        </is>
      </c>
    </row>
    <row r="16" ht="22" customHeight="1">
      <c r="A16" s="295" t="inlineStr">
        <is>
          <t>₹2,00,000</t>
        </is>
      </c>
      <c r="B16" s="295" t="inlineStr">
        <is>
          <t>Full ₹2L to ASR</t>
        </is>
      </c>
      <c r="C16" s="295" t="inlineStr">
        <is>
          <t>₹40K stays</t>
        </is>
      </c>
      <c r="D16" s="295" t="inlineStr">
        <is>
          <t>Partner gets ₹1.6L</t>
        </is>
      </c>
      <c r="E16" s="295" t="inlineStr">
        <is>
          <t>Digital marketing retainer</t>
        </is>
      </c>
    </row>
  </sheetData>
  <autoFilter ref="A2:I8"/>
  <mergeCells count="3">
    <mergeCell ref="A1:I1"/>
    <mergeCell ref="A12:I12"/>
    <mergeCell ref="A10:F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4" customWidth="1" min="4" max="4"/>
    <col width="11" customWidth="1" min="5" max="5"/>
    <col width="13" customWidth="1" min="6" max="6"/>
    <col width="16" customWidth="1" min="7" max="7"/>
    <col width="16" customWidth="1" min="8" max="8"/>
    <col width="15" customWidth="1" min="9" max="9"/>
    <col width="13" customWidth="1" min="10" max="10"/>
    <col width="15" customWidth="1" min="11" max="11"/>
  </cols>
  <sheetData>
    <row r="1" ht="42" customHeight="1">
      <c r="A1" s="49" t="inlineStr">
        <is>
          <t>⚡  HIRING VELOCITY — Conversion Efficiency = Placement Speed = Cash Flow</t>
        </is>
      </c>
    </row>
    <row r="2" ht="22" customHeight="1">
      <c r="A2" s="296" t="inlineStr">
        <is>
          <t>100 profiles → 20 interviews → 8 offers → 5 joins = ₹40,000</t>
        </is>
      </c>
    </row>
    <row r="3" ht="30" customHeight="1">
      <c r="A3" s="15" t="inlineStr">
        <is>
          <t>Client</t>
        </is>
      </c>
      <c r="B3" s="15" t="inlineStr">
        <is>
          <t>Roles Open</t>
        </is>
      </c>
      <c r="C3" s="15" t="inlineStr">
        <is>
          <t>Profiles Sent</t>
        </is>
      </c>
      <c r="D3" s="15" t="inlineStr">
        <is>
          <t>Interviews Held</t>
        </is>
      </c>
      <c r="E3" s="15" t="inlineStr">
        <is>
          <t>Offers Made</t>
        </is>
      </c>
      <c r="F3" s="15" t="inlineStr">
        <is>
          <t>Joined / Placed</t>
        </is>
      </c>
      <c r="G3" s="15" t="inlineStr">
        <is>
          <t>Revenue Earned (₹)</t>
        </is>
      </c>
      <c r="H3" s="15" t="inlineStr">
        <is>
          <t>Profile→Interview %</t>
        </is>
      </c>
      <c r="I3" s="15" t="inlineStr">
        <is>
          <t>Interview→Offer %</t>
        </is>
      </c>
      <c r="J3" s="15" t="inlineStr">
        <is>
          <t>Offer→Join %</t>
        </is>
      </c>
      <c r="K3" s="15" t="inlineStr">
        <is>
          <t>Avg Days to Close</t>
        </is>
      </c>
    </row>
    <row r="4" ht="20" customHeight="1">
      <c r="A4" s="297" t="inlineStr">
        <is>
          <t>Teleperformance</t>
        </is>
      </c>
      <c r="B4" s="209" t="n">
        <v>30</v>
      </c>
      <c r="C4" s="209" t="n">
        <v>25</v>
      </c>
      <c r="D4" s="209" t="n">
        <v>12</v>
      </c>
      <c r="E4" s="209" t="n">
        <v>8</v>
      </c>
      <c r="F4" s="209" t="n">
        <v>5</v>
      </c>
      <c r="G4" s="298" t="n">
        <v>40000</v>
      </c>
      <c r="H4" s="299">
        <f>IF(C4&gt;0,D4/C4,0)</f>
        <v/>
      </c>
      <c r="I4" s="299">
        <f>IF(D4&gt;0,E4/D4,0)</f>
        <v/>
      </c>
      <c r="J4" s="299">
        <f>IF(E4&gt;0,F4/E4,0)</f>
        <v/>
      </c>
      <c r="K4" s="209" t="n">
        <v>21</v>
      </c>
    </row>
    <row r="5" ht="20" customHeight="1">
      <c r="A5" s="300" t="inlineStr">
        <is>
          <t>iEnergizer</t>
        </is>
      </c>
      <c r="B5" s="210" t="n">
        <v>20</v>
      </c>
      <c r="C5" s="210" t="n">
        <v>18</v>
      </c>
      <c r="D5" s="210" t="n">
        <v>8</v>
      </c>
      <c r="E5" s="210" t="n">
        <v>5</v>
      </c>
      <c r="F5" s="210" t="n">
        <v>3</v>
      </c>
      <c r="G5" s="301" t="n">
        <v>24000</v>
      </c>
      <c r="H5" s="299">
        <f>IF(C5&gt;0,D5/C5,0)</f>
        <v/>
      </c>
      <c r="I5" s="299">
        <f>IF(D5&gt;0,E5/D5,0)</f>
        <v/>
      </c>
      <c r="J5" s="299">
        <f>IF(E5&gt;0,F5/E5,0)</f>
        <v/>
      </c>
      <c r="K5" s="210" t="n">
        <v>21</v>
      </c>
    </row>
    <row r="6" ht="20" customHeight="1">
      <c r="A6" s="297" t="inlineStr">
        <is>
          <t>Fortis Hospital</t>
        </is>
      </c>
      <c r="B6" s="209" t="n">
        <v>10</v>
      </c>
      <c r="C6" s="209" t="n">
        <v>8</v>
      </c>
      <c r="D6" s="209" t="n">
        <v>5</v>
      </c>
      <c r="E6" s="209" t="n">
        <v>3</v>
      </c>
      <c r="F6" s="209" t="n">
        <v>2</v>
      </c>
      <c r="G6" s="298" t="n">
        <v>16000</v>
      </c>
      <c r="H6" s="299">
        <f>IF(C6&gt;0,D6/C6,0)</f>
        <v/>
      </c>
      <c r="I6" s="299">
        <f>IF(D6&gt;0,E6/D6,0)</f>
        <v/>
      </c>
      <c r="J6" s="299">
        <f>IF(E6&gt;0,F6/E6,0)</f>
        <v/>
      </c>
      <c r="K6" s="209" t="n">
        <v>21</v>
      </c>
    </row>
    <row r="7" ht="20" customHeight="1">
      <c r="A7" s="300" t="inlineStr">
        <is>
          <t>Genpact</t>
        </is>
      </c>
      <c r="B7" s="210" t="n">
        <v>15</v>
      </c>
      <c r="C7" s="210" t="n">
        <v>10</v>
      </c>
      <c r="D7" s="210" t="n">
        <v>4</v>
      </c>
      <c r="E7" s="210" t="n">
        <v>2</v>
      </c>
      <c r="F7" s="210" t="n">
        <v>1</v>
      </c>
      <c r="G7" s="301" t="n">
        <v>8000</v>
      </c>
      <c r="H7" s="302">
        <f>IF(C7&gt;0,D7/C7,0)</f>
        <v/>
      </c>
      <c r="I7" s="302">
        <f>IF(D7&gt;0,E7/D7,0)</f>
        <v/>
      </c>
      <c r="J7" s="302">
        <f>IF(E7&gt;0,F7/E7,0)</f>
        <v/>
      </c>
      <c r="K7" s="210" t="n">
        <v>21</v>
      </c>
    </row>
    <row r="8" ht="20" customHeight="1">
      <c r="A8" s="297" t="inlineStr">
        <is>
          <t>Concentrix</t>
        </is>
      </c>
      <c r="B8" s="209" t="n">
        <v>12</v>
      </c>
      <c r="C8" s="209" t="n">
        <v>10</v>
      </c>
      <c r="D8" s="209" t="n">
        <v>5</v>
      </c>
      <c r="E8" s="209" t="n">
        <v>3</v>
      </c>
      <c r="F8" s="209" t="n">
        <v>2</v>
      </c>
      <c r="G8" s="298" t="n">
        <v>16000</v>
      </c>
      <c r="H8" s="299">
        <f>IF(C8&gt;0,D8/C8,0)</f>
        <v/>
      </c>
      <c r="I8" s="299">
        <f>IF(D8&gt;0,E8/D8,0)</f>
        <v/>
      </c>
      <c r="J8" s="299">
        <f>IF(E8&gt;0,F8/E8,0)</f>
        <v/>
      </c>
      <c r="K8" s="209" t="n">
        <v>21</v>
      </c>
    </row>
    <row r="9" ht="20" customHeight="1">
      <c r="A9" s="300" t="inlineStr">
        <is>
          <t>V-Mart Retail</t>
        </is>
      </c>
      <c r="B9" s="210" t="n">
        <v>8</v>
      </c>
      <c r="C9" s="210" t="n">
        <v>7</v>
      </c>
      <c r="D9" s="210" t="n">
        <v>4</v>
      </c>
      <c r="E9" s="210" t="n">
        <v>2</v>
      </c>
      <c r="F9" s="210" t="n">
        <v>1</v>
      </c>
      <c r="G9" s="301" t="n">
        <v>8000</v>
      </c>
      <c r="H9" s="302">
        <f>IF(C9&gt;0,D9/C9,0)</f>
        <v/>
      </c>
      <c r="I9" s="302">
        <f>IF(D9&gt;0,E9/D9,0)</f>
        <v/>
      </c>
      <c r="J9" s="302">
        <f>IF(E9&gt;0,F9/E9,0)</f>
        <v/>
      </c>
      <c r="K9" s="210" t="n">
        <v>21</v>
      </c>
    </row>
    <row r="10" ht="20" customHeight="1">
      <c r="A10" s="297" t="inlineStr">
        <is>
          <t>Sutherland</t>
        </is>
      </c>
      <c r="B10" s="209" t="n">
        <v>25</v>
      </c>
      <c r="C10" s="209" t="n">
        <v>20</v>
      </c>
      <c r="D10" s="209" t="n">
        <v>10</v>
      </c>
      <c r="E10" s="209" t="n">
        <v>6</v>
      </c>
      <c r="F10" s="209" t="n">
        <v>4</v>
      </c>
      <c r="G10" s="298" t="n">
        <v>32000</v>
      </c>
      <c r="H10" s="299">
        <f>IF(C10&gt;0,D10/C10,0)</f>
        <v/>
      </c>
      <c r="I10" s="299">
        <f>IF(D10&gt;0,E10/D10,0)</f>
        <v/>
      </c>
      <c r="J10" s="299">
        <f>IF(E10&gt;0,F10/E10,0)</f>
        <v/>
      </c>
      <c r="K10" s="209" t="n">
        <v>21</v>
      </c>
    </row>
    <row r="11" ht="20" customHeight="1">
      <c r="A11" s="300" t="inlineStr">
        <is>
          <t>Narayana Hospital</t>
        </is>
      </c>
      <c r="B11" s="210" t="n">
        <v>12</v>
      </c>
      <c r="C11" s="210" t="n">
        <v>9</v>
      </c>
      <c r="D11" s="210" t="n">
        <v>4</v>
      </c>
      <c r="E11" s="210" t="n">
        <v>3</v>
      </c>
      <c r="F11" s="210" t="n">
        <v>2</v>
      </c>
      <c r="G11" s="301" t="n">
        <v>16000</v>
      </c>
      <c r="H11" s="299">
        <f>IF(C11&gt;0,D11/C11,0)</f>
        <v/>
      </c>
      <c r="I11" s="299">
        <f>IF(D11&gt;0,E11/D11,0)</f>
        <v/>
      </c>
      <c r="J11" s="299">
        <f>IF(E11&gt;0,F11/E11,0)</f>
        <v/>
      </c>
      <c r="K11" s="210" t="n">
        <v>21</v>
      </c>
    </row>
    <row r="12" ht="20" customHeight="1">
      <c r="A12" s="297" t="inlineStr">
        <is>
          <t>IndiaMart</t>
        </is>
      </c>
      <c r="B12" s="209" t="n">
        <v>6</v>
      </c>
      <c r="C12" s="209" t="n">
        <v>4</v>
      </c>
      <c r="D12" s="209" t="n">
        <v>2</v>
      </c>
      <c r="E12" s="209" t="n">
        <v>1</v>
      </c>
      <c r="F12" s="209" t="n">
        <v>0</v>
      </c>
      <c r="G12" s="303" t="n">
        <v>0</v>
      </c>
      <c r="H12" s="304">
        <f>IF(C12&gt;0,D12/C12,0)</f>
        <v/>
      </c>
      <c r="I12" s="304">
        <f>IF(D12&gt;0,E12/D12,0)</f>
        <v/>
      </c>
      <c r="J12" s="304">
        <f>IF(E12&gt;0,F12/E12,0)</f>
        <v/>
      </c>
      <c r="K12" s="209" t="n">
        <v>21</v>
      </c>
    </row>
    <row r="13" ht="20" customHeight="1">
      <c r="A13" s="300" t="inlineStr">
        <is>
          <t>Shiprocket</t>
        </is>
      </c>
      <c r="B13" s="210" t="n">
        <v>5</v>
      </c>
      <c r="C13" s="210" t="n">
        <v>3</v>
      </c>
      <c r="D13" s="210" t="n">
        <v>1</v>
      </c>
      <c r="E13" s="210" t="n">
        <v>0</v>
      </c>
      <c r="F13" s="210" t="n">
        <v>0</v>
      </c>
      <c r="G13" s="305" t="n">
        <v>0</v>
      </c>
      <c r="H13" s="304">
        <f>IF(C13&gt;0,D13/C13,0)</f>
        <v/>
      </c>
      <c r="I13" s="304">
        <f>IF(D13&gt;0,E13/D13,0)</f>
        <v/>
      </c>
      <c r="J13" s="304">
        <f>IF(E13&gt;0,F13/E13,0)</f>
        <v/>
      </c>
      <c r="K13" s="210" t="n">
        <v>21</v>
      </c>
    </row>
    <row r="14" ht="20" customHeight="1">
      <c r="A14" s="235" t="inlineStr"/>
      <c r="B14" s="235" t="inlineStr"/>
      <c r="C14" s="235" t="inlineStr"/>
      <c r="D14" s="235" t="inlineStr"/>
      <c r="E14" s="235" t="inlineStr"/>
      <c r="F14" s="235" t="inlineStr"/>
      <c r="G14" s="235" t="inlineStr"/>
      <c r="H14" s="235" t="inlineStr"/>
      <c r="I14" s="235" t="inlineStr"/>
      <c r="J14" s="235" t="inlineStr"/>
      <c r="K14" s="235" t="inlineStr"/>
    </row>
    <row r="15" ht="20" customHeight="1">
      <c r="A15" s="231" t="inlineStr"/>
      <c r="B15" s="231" t="inlineStr"/>
      <c r="C15" s="231" t="inlineStr"/>
      <c r="D15" s="231" t="inlineStr"/>
      <c r="E15" s="231" t="inlineStr"/>
      <c r="F15" s="231" t="inlineStr"/>
      <c r="G15" s="231" t="inlineStr"/>
      <c r="H15" s="231" t="inlineStr"/>
      <c r="I15" s="231" t="inlineStr"/>
      <c r="J15" s="231" t="inlineStr"/>
      <c r="K15" s="231" t="inlineStr"/>
    </row>
    <row r="16" ht="20" customHeight="1">
      <c r="A16" s="235" t="inlineStr"/>
      <c r="B16" s="235" t="inlineStr"/>
      <c r="C16" s="235" t="inlineStr"/>
      <c r="D16" s="235" t="inlineStr"/>
      <c r="E16" s="235" t="inlineStr"/>
      <c r="F16" s="235" t="inlineStr"/>
      <c r="G16" s="235" t="inlineStr"/>
      <c r="H16" s="235" t="inlineStr"/>
      <c r="I16" s="235" t="inlineStr"/>
      <c r="J16" s="235" t="inlineStr"/>
      <c r="K16" s="235" t="inlineStr"/>
    </row>
    <row r="17" ht="20" customHeight="1">
      <c r="A17" s="231" t="inlineStr"/>
      <c r="B17" s="231" t="inlineStr"/>
      <c r="C17" s="231" t="inlineStr"/>
      <c r="D17" s="231" t="inlineStr"/>
      <c r="E17" s="231" t="inlineStr"/>
      <c r="F17" s="231" t="inlineStr"/>
      <c r="G17" s="231" t="inlineStr"/>
      <c r="H17" s="231" t="inlineStr"/>
      <c r="I17" s="231" t="inlineStr"/>
      <c r="J17" s="231" t="inlineStr"/>
      <c r="K17" s="231" t="inlineStr"/>
    </row>
    <row r="19" ht="22" customHeight="1">
      <c r="A19" s="215" t="inlineStr">
        <is>
          <t>📊  PORTFOLIO TOTALS</t>
        </is>
      </c>
    </row>
    <row r="20" ht="20" customHeight="1">
      <c r="B20" s="283" t="inlineStr">
        <is>
          <t>Roles</t>
        </is>
      </c>
      <c r="C20" s="306" t="inlineStr">
        <is>
          <t>Sent</t>
        </is>
      </c>
      <c r="D20" s="307" t="inlineStr">
        <is>
          <t>Interviews</t>
        </is>
      </c>
      <c r="E20" s="284" t="inlineStr">
        <is>
          <t>Offers</t>
        </is>
      </c>
      <c r="F20" s="284" t="inlineStr">
        <is>
          <t>Joined</t>
        </is>
      </c>
      <c r="G20" s="284" t="inlineStr">
        <is>
          <t>Revenue (₹)</t>
        </is>
      </c>
    </row>
    <row r="21" ht="34" customHeight="1">
      <c r="B21" s="244">
        <f>SUM(B4:B18)</f>
        <v/>
      </c>
      <c r="C21" s="249">
        <f>SUM(C4:C18)</f>
        <v/>
      </c>
      <c r="D21" s="308">
        <f>SUM(D4:D18)</f>
        <v/>
      </c>
      <c r="E21" s="245">
        <f>SUM(E4:E18)</f>
        <v/>
      </c>
      <c r="F21" s="245">
        <f>SUM(F4:F18)</f>
        <v/>
      </c>
      <c r="G21" s="222">
        <f>SUM(G4:G18)</f>
        <v/>
      </c>
    </row>
  </sheetData>
  <autoFilter ref="A3:K13"/>
  <mergeCells count="3">
    <mergeCell ref="A2:K2"/>
    <mergeCell ref="A1:K1"/>
    <mergeCell ref="A19:K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3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22" customWidth="1" min="10" max="10"/>
  </cols>
  <sheetData>
    <row r="1" ht="42" customHeight="1">
      <c r="A1" s="49" t="inlineStr">
        <is>
          <t>📡  LEAD SOURCE TRACKER — Which Channel Prints Money?</t>
        </is>
      </c>
    </row>
    <row r="2" ht="20" customHeight="1">
      <c r="A2" s="296" t="inlineStr">
        <is>
          <t>Double down on what works. Kill what doesn't.</t>
        </is>
      </c>
    </row>
    <row r="3" ht="28" customHeight="1">
      <c r="A3" s="15" t="inlineStr">
        <is>
          <t>Company</t>
        </is>
      </c>
      <c r="B3" s="15" t="inlineStr">
        <is>
          <t>Source Channel</t>
        </is>
      </c>
      <c r="C3" s="15" t="inlineStr">
        <is>
          <t>Contacted By</t>
        </is>
      </c>
      <c r="D3" s="15" t="inlineStr">
        <is>
          <t>Date</t>
        </is>
      </c>
      <c r="E3" s="15" t="inlineStr">
        <is>
          <t>Reply Received</t>
        </is>
      </c>
      <c r="F3" s="15" t="inlineStr">
        <is>
          <t>Deal Stage</t>
        </is>
      </c>
      <c r="G3" s="15" t="inlineStr">
        <is>
          <t>Revenue (₹)</t>
        </is>
      </c>
      <c r="H3" s="15" t="inlineStr">
        <is>
          <t>Days to Close</t>
        </is>
      </c>
      <c r="I3" s="15" t="inlineStr">
        <is>
          <t>Acq. Cost (₹)</t>
        </is>
      </c>
      <c r="J3" s="15" t="inlineStr">
        <is>
          <t>Notes</t>
        </is>
      </c>
    </row>
    <row r="4" ht="20" customHeight="1">
      <c r="A4" s="234" t="inlineStr">
        <is>
          <t>Teleperformance</t>
        </is>
      </c>
      <c r="B4" s="253" t="inlineStr">
        <is>
          <t>Cold Call</t>
        </is>
      </c>
      <c r="C4" s="234" t="inlineStr">
        <is>
          <t>Srijan</t>
        </is>
      </c>
      <c r="D4" s="235" t="inlineStr">
        <is>
          <t>Mar 01</t>
        </is>
      </c>
      <c r="E4" s="232" t="inlineStr">
        <is>
          <t>Yes</t>
        </is>
      </c>
      <c r="F4" s="241" t="inlineStr">
        <is>
          <t>In Pipeline</t>
        </is>
      </c>
      <c r="G4" s="309" t="n">
        <v>0</v>
      </c>
      <c r="H4" s="235" t="n">
        <v>14</v>
      </c>
      <c r="I4" s="280" t="n">
        <v>500</v>
      </c>
      <c r="J4" s="234" t="inlineStr">
        <is>
          <t>Pitch retainer</t>
        </is>
      </c>
    </row>
    <row r="5" ht="20" customHeight="1">
      <c r="A5" s="230" t="inlineStr">
        <is>
          <t>iEnergizer</t>
        </is>
      </c>
      <c r="B5" s="253" t="inlineStr">
        <is>
          <t>Cold Call</t>
        </is>
      </c>
      <c r="C5" s="230" t="inlineStr">
        <is>
          <t>Srijan</t>
        </is>
      </c>
      <c r="D5" s="231" t="inlineStr">
        <is>
          <t>Mar 01</t>
        </is>
      </c>
      <c r="E5" s="232" t="inlineStr">
        <is>
          <t>Yes</t>
        </is>
      </c>
      <c r="F5" s="253" t="inlineStr">
        <is>
          <t>Qualified</t>
        </is>
      </c>
      <c r="G5" s="310" t="n">
        <v>0</v>
      </c>
      <c r="H5" s="231" t="n">
        <v>7</v>
      </c>
      <c r="I5" s="276" t="n">
        <v>500</v>
      </c>
      <c r="J5" s="230" t="inlineStr">
        <is>
          <t>Warm — follow up</t>
        </is>
      </c>
    </row>
    <row r="6" ht="20" customHeight="1">
      <c r="A6" s="234" t="inlineStr">
        <is>
          <t>Fortis Hospital</t>
        </is>
      </c>
      <c r="B6" s="256" t="inlineStr">
        <is>
          <t>LinkedIn</t>
        </is>
      </c>
      <c r="C6" s="234" t="inlineStr">
        <is>
          <t>Srijan</t>
        </is>
      </c>
      <c r="D6" s="235" t="inlineStr">
        <is>
          <t>Feb 25</t>
        </is>
      </c>
      <c r="E6" s="232" t="inlineStr">
        <is>
          <t>Yes</t>
        </is>
      </c>
      <c r="F6" s="232" t="inlineStr">
        <is>
          <t>Won</t>
        </is>
      </c>
      <c r="G6" s="291" t="n">
        <v>16000</v>
      </c>
      <c r="H6" s="235" t="n">
        <v>21</v>
      </c>
      <c r="I6" s="280" t="n">
        <v>200</v>
      </c>
      <c r="J6" s="234" t="inlineStr">
        <is>
          <t>2 nurses placed</t>
        </is>
      </c>
    </row>
    <row r="7" ht="20" customHeight="1">
      <c r="A7" s="230" t="inlineStr">
        <is>
          <t>Genpact</t>
        </is>
      </c>
      <c r="B7" s="256" t="inlineStr">
        <is>
          <t>LinkedIn</t>
        </is>
      </c>
      <c r="C7" s="230" t="inlineStr">
        <is>
          <t>Srijan</t>
        </is>
      </c>
      <c r="D7" s="231" t="inlineStr">
        <is>
          <t>Mar 02</t>
        </is>
      </c>
      <c r="E7" s="236" t="inlineStr">
        <is>
          <t>No</t>
        </is>
      </c>
      <c r="F7" s="237" t="inlineStr">
        <is>
          <t>Prospect</t>
        </is>
      </c>
      <c r="G7" s="310" t="n">
        <v>0</v>
      </c>
      <c r="H7" s="231" t="n">
        <v>0</v>
      </c>
      <c r="I7" s="276" t="n">
        <v>200</v>
      </c>
      <c r="J7" s="230" t="inlineStr">
        <is>
          <t>No reply yet</t>
        </is>
      </c>
    </row>
    <row r="8" ht="20" customHeight="1">
      <c r="A8" s="234" t="inlineStr">
        <is>
          <t>KGMU Hospital</t>
        </is>
      </c>
      <c r="B8" s="232" t="inlineStr">
        <is>
          <t>Referral</t>
        </is>
      </c>
      <c r="C8" s="234" t="inlineStr">
        <is>
          <t>Rahul</t>
        </is>
      </c>
      <c r="D8" s="235" t="inlineStr">
        <is>
          <t>Feb 20</t>
        </is>
      </c>
      <c r="E8" s="232" t="inlineStr">
        <is>
          <t>Yes</t>
        </is>
      </c>
      <c r="F8" s="232" t="inlineStr">
        <is>
          <t>Won</t>
        </is>
      </c>
      <c r="G8" s="291" t="n">
        <v>8000</v>
      </c>
      <c r="H8" s="235" t="n">
        <v>18</v>
      </c>
      <c r="I8" s="280" t="n">
        <v>0</v>
      </c>
      <c r="J8" s="234" t="inlineStr">
        <is>
          <t>Referral — zero cost</t>
        </is>
      </c>
    </row>
    <row r="9" ht="20" customHeight="1">
      <c r="A9" s="230" t="inlineStr">
        <is>
          <t>Concentrix</t>
        </is>
      </c>
      <c r="B9" s="253" t="inlineStr">
        <is>
          <t>Cold Call</t>
        </is>
      </c>
      <c r="C9" s="230" t="inlineStr">
        <is>
          <t>Srijan</t>
        </is>
      </c>
      <c r="D9" s="231" t="inlineStr">
        <is>
          <t>Mar 03</t>
        </is>
      </c>
      <c r="E9" s="232" t="inlineStr">
        <is>
          <t>Yes</t>
        </is>
      </c>
      <c r="F9" s="253" t="inlineStr">
        <is>
          <t>Qualified</t>
        </is>
      </c>
      <c r="G9" s="310" t="n">
        <v>0</v>
      </c>
      <c r="H9" s="231" t="n">
        <v>5</v>
      </c>
      <c r="I9" s="276" t="n">
        <v>500</v>
      </c>
      <c r="J9" s="230" t="inlineStr">
        <is>
          <t>Active follow-up</t>
        </is>
      </c>
    </row>
    <row r="10" ht="20" customHeight="1">
      <c r="A10" s="234" t="inlineStr">
        <is>
          <t>V-Mart Retail</t>
        </is>
      </c>
      <c r="B10" s="232" t="inlineStr">
        <is>
          <t>WhatsApp</t>
        </is>
      </c>
      <c r="C10" s="234" t="inlineStr">
        <is>
          <t>Srijan</t>
        </is>
      </c>
      <c r="D10" s="235" t="inlineStr">
        <is>
          <t>Mar 01</t>
        </is>
      </c>
      <c r="E10" s="232" t="inlineStr">
        <is>
          <t>Yes</t>
        </is>
      </c>
      <c r="F10" s="232" t="inlineStr">
        <is>
          <t>Won</t>
        </is>
      </c>
      <c r="G10" s="291" t="n">
        <v>8000</v>
      </c>
      <c r="H10" s="235" t="n">
        <v>14</v>
      </c>
      <c r="I10" s="280" t="n">
        <v>100</v>
      </c>
      <c r="J10" s="234" t="inlineStr">
        <is>
          <t>Quick close</t>
        </is>
      </c>
    </row>
    <row r="11" ht="20" customHeight="1">
      <c r="A11" s="230" t="inlineStr">
        <is>
          <t>Narayana Hospital</t>
        </is>
      </c>
      <c r="B11" s="256" t="inlineStr">
        <is>
          <t>LinkedIn</t>
        </is>
      </c>
      <c r="C11" s="230" t="inlineStr">
        <is>
          <t>Srijan</t>
        </is>
      </c>
      <c r="D11" s="231" t="inlineStr">
        <is>
          <t>Feb 28</t>
        </is>
      </c>
      <c r="E11" s="236" t="inlineStr">
        <is>
          <t>No</t>
        </is>
      </c>
      <c r="F11" s="237" t="inlineStr">
        <is>
          <t>Prospect</t>
        </is>
      </c>
      <c r="G11" s="310" t="n">
        <v>0</v>
      </c>
      <c r="H11" s="231" t="n">
        <v>0</v>
      </c>
      <c r="I11" s="276" t="n">
        <v>200</v>
      </c>
      <c r="J11" s="230" t="inlineStr">
        <is>
          <t>Need another touch</t>
        </is>
      </c>
    </row>
    <row r="12" ht="20" customHeight="1">
      <c r="A12" s="234" t="inlineStr">
        <is>
          <t>Sutherland Global</t>
        </is>
      </c>
      <c r="B12" s="232" t="inlineStr">
        <is>
          <t>Referral</t>
        </is>
      </c>
      <c r="C12" s="234" t="inlineStr">
        <is>
          <t>Mohan</t>
        </is>
      </c>
      <c r="D12" s="235" t="inlineStr">
        <is>
          <t>Feb 15</t>
        </is>
      </c>
      <c r="E12" s="232" t="inlineStr">
        <is>
          <t>Yes</t>
        </is>
      </c>
      <c r="F12" s="241" t="inlineStr">
        <is>
          <t>In Pipeline</t>
        </is>
      </c>
      <c r="G12" s="309" t="n">
        <v>0</v>
      </c>
      <c r="H12" s="235" t="n">
        <v>30</v>
      </c>
      <c r="I12" s="280" t="n">
        <v>0</v>
      </c>
      <c r="J12" s="234" t="inlineStr">
        <is>
          <t>Strong pipeline</t>
        </is>
      </c>
    </row>
    <row r="13" ht="20" customHeight="1">
      <c r="A13" s="230" t="inlineStr">
        <is>
          <t>IndiaMart</t>
        </is>
      </c>
      <c r="B13" s="268" t="inlineStr">
        <is>
          <t>Email</t>
        </is>
      </c>
      <c r="C13" s="230" t="inlineStr">
        <is>
          <t>Srijan</t>
        </is>
      </c>
      <c r="D13" s="231" t="inlineStr">
        <is>
          <t>Mar 04</t>
        </is>
      </c>
      <c r="E13" s="236" t="inlineStr">
        <is>
          <t>No</t>
        </is>
      </c>
      <c r="F13" s="237" t="inlineStr">
        <is>
          <t>Prospect</t>
        </is>
      </c>
      <c r="G13" s="310" t="n">
        <v>0</v>
      </c>
      <c r="H13" s="231" t="n">
        <v>0</v>
      </c>
      <c r="I13" s="276" t="n">
        <v>300</v>
      </c>
      <c r="J13" s="230" t="inlineStr">
        <is>
          <t>Low open rate</t>
        </is>
      </c>
    </row>
    <row r="14" ht="20" customHeight="1">
      <c r="A14" s="234" t="inlineStr">
        <is>
          <t>Shiprocket</t>
        </is>
      </c>
      <c r="B14" s="256" t="inlineStr">
        <is>
          <t>LinkedIn</t>
        </is>
      </c>
      <c r="C14" s="234" t="inlineStr">
        <is>
          <t>Srijan</t>
        </is>
      </c>
      <c r="D14" s="235" t="inlineStr">
        <is>
          <t>Mar 02</t>
        </is>
      </c>
      <c r="E14" s="232" t="inlineStr">
        <is>
          <t>Yes</t>
        </is>
      </c>
      <c r="F14" s="253" t="inlineStr">
        <is>
          <t>Qualified</t>
        </is>
      </c>
      <c r="G14" s="309" t="n">
        <v>0</v>
      </c>
      <c r="H14" s="235" t="n">
        <v>8</v>
      </c>
      <c r="I14" s="280" t="n">
        <v>200</v>
      </c>
      <c r="J14" s="234" t="inlineStr">
        <is>
          <t>IT vertical intro</t>
        </is>
      </c>
    </row>
    <row r="15" ht="20" customHeight="1">
      <c r="A15" s="230" t="inlineStr">
        <is>
          <t>Mphasis BPO</t>
        </is>
      </c>
      <c r="B15" s="253" t="inlineStr">
        <is>
          <t>Cold Call</t>
        </is>
      </c>
      <c r="C15" s="230" t="inlineStr">
        <is>
          <t>Srijan</t>
        </is>
      </c>
      <c r="D15" s="231" t="inlineStr">
        <is>
          <t>Mar 03</t>
        </is>
      </c>
      <c r="E15" s="232" t="inlineStr">
        <is>
          <t>Yes</t>
        </is>
      </c>
      <c r="F15" s="241" t="inlineStr">
        <is>
          <t>In Pipeline</t>
        </is>
      </c>
      <c r="G15" s="310" t="n">
        <v>0</v>
      </c>
      <c r="H15" s="231" t="n">
        <v>10</v>
      </c>
      <c r="I15" s="276" t="n">
        <v>500</v>
      </c>
      <c r="J15" s="230" t="inlineStr">
        <is>
          <t>Kanpur BPO</t>
        </is>
      </c>
    </row>
    <row r="16" ht="20" customHeight="1">
      <c r="A16" s="234" t="inlineStr">
        <is>
          <t>Taskus India</t>
        </is>
      </c>
      <c r="B16" s="266" t="inlineStr">
        <is>
          <t>Meta Ads</t>
        </is>
      </c>
      <c r="C16" s="234" t="inlineStr">
        <is>
          <t>Srijan</t>
        </is>
      </c>
      <c r="D16" s="235" t="inlineStr">
        <is>
          <t>Mar 01</t>
        </is>
      </c>
      <c r="E16" s="236" t="inlineStr">
        <is>
          <t>No</t>
        </is>
      </c>
      <c r="F16" s="237" t="inlineStr">
        <is>
          <t>Prospect</t>
        </is>
      </c>
      <c r="G16" s="309" t="n">
        <v>0</v>
      </c>
      <c r="H16" s="235" t="n">
        <v>0</v>
      </c>
      <c r="I16" s="280" t="n">
        <v>800</v>
      </c>
      <c r="J16" s="234" t="inlineStr">
        <is>
          <t>No response from ads</t>
        </is>
      </c>
    </row>
    <row r="17" ht="20" customHeight="1">
      <c r="A17" s="230" t="inlineStr">
        <is>
          <t>Narayana Hospital</t>
        </is>
      </c>
      <c r="B17" s="237" t="inlineStr">
        <is>
          <t>Walk-in</t>
        </is>
      </c>
      <c r="C17" s="230" t="inlineStr">
        <is>
          <t>Client</t>
        </is>
      </c>
      <c r="D17" s="231" t="inlineStr">
        <is>
          <t>Mar 05</t>
        </is>
      </c>
      <c r="E17" s="232" t="inlineStr">
        <is>
          <t>Yes</t>
        </is>
      </c>
      <c r="F17" s="232" t="inlineStr">
        <is>
          <t>Won</t>
        </is>
      </c>
      <c r="G17" s="288" t="n">
        <v>8000</v>
      </c>
      <c r="H17" s="231" t="n">
        <v>7</v>
      </c>
      <c r="I17" s="276" t="n">
        <v>0</v>
      </c>
      <c r="J17" s="230" t="inlineStr">
        <is>
          <t>Walk-in — quick win</t>
        </is>
      </c>
    </row>
    <row r="18" ht="20" customHeight="1">
      <c r="A18" s="234" t="inlineStr">
        <is>
          <t>Firstsource</t>
        </is>
      </c>
      <c r="B18" s="253" t="inlineStr">
        <is>
          <t>Cold Call</t>
        </is>
      </c>
      <c r="C18" s="234" t="inlineStr">
        <is>
          <t>Srijan</t>
        </is>
      </c>
      <c r="D18" s="235" t="inlineStr">
        <is>
          <t>Mar 04</t>
        </is>
      </c>
      <c r="E18" s="236" t="inlineStr">
        <is>
          <t>No</t>
        </is>
      </c>
      <c r="F18" s="237" t="inlineStr">
        <is>
          <t>Prospect</t>
        </is>
      </c>
      <c r="G18" s="309" t="n">
        <v>0</v>
      </c>
      <c r="H18" s="235" t="n">
        <v>0</v>
      </c>
      <c r="I18" s="280" t="n">
        <v>500</v>
      </c>
      <c r="J18" s="234" t="inlineStr">
        <is>
          <t>Need 2 more touches</t>
        </is>
      </c>
    </row>
    <row r="19" ht="20" customHeight="1">
      <c r="A19" s="231" t="inlineStr"/>
      <c r="B19" s="231" t="inlineStr"/>
      <c r="C19" s="231" t="inlineStr"/>
      <c r="D19" s="231" t="inlineStr"/>
      <c r="E19" s="231" t="inlineStr"/>
      <c r="F19" s="231" t="inlineStr"/>
      <c r="G19" s="231" t="inlineStr"/>
      <c r="H19" s="231" t="inlineStr"/>
      <c r="I19" s="231" t="inlineStr"/>
      <c r="J19" s="231" t="inlineStr"/>
    </row>
    <row r="20" ht="20" customHeight="1">
      <c r="A20" s="235" t="inlineStr"/>
      <c r="B20" s="235" t="inlineStr"/>
      <c r="C20" s="235" t="inlineStr"/>
      <c r="D20" s="235" t="inlineStr"/>
      <c r="E20" s="235" t="inlineStr"/>
      <c r="F20" s="235" t="inlineStr"/>
      <c r="G20" s="235" t="inlineStr"/>
      <c r="H20" s="235" t="inlineStr"/>
      <c r="I20" s="235" t="inlineStr"/>
      <c r="J20" s="235" t="inlineStr"/>
    </row>
    <row r="21" ht="20" customHeight="1">
      <c r="A21" s="231" t="inlineStr"/>
      <c r="B21" s="231" t="inlineStr"/>
      <c r="C21" s="231" t="inlineStr"/>
      <c r="D21" s="231" t="inlineStr"/>
      <c r="E21" s="231" t="inlineStr"/>
      <c r="F21" s="231" t="inlineStr"/>
      <c r="G21" s="231" t="inlineStr"/>
      <c r="H21" s="231" t="inlineStr"/>
      <c r="I21" s="231" t="inlineStr"/>
      <c r="J21" s="231" t="inlineStr"/>
    </row>
    <row r="22" ht="20" customHeight="1">
      <c r="A22" s="235" t="inlineStr"/>
      <c r="B22" s="235" t="inlineStr"/>
      <c r="C22" s="235" t="inlineStr"/>
      <c r="D22" s="235" t="inlineStr"/>
      <c r="E22" s="235" t="inlineStr"/>
      <c r="F22" s="235" t="inlineStr"/>
      <c r="G22" s="235" t="inlineStr"/>
      <c r="H22" s="235" t="inlineStr"/>
      <c r="I22" s="235" t="inlineStr"/>
      <c r="J22" s="235" t="inlineStr"/>
    </row>
    <row r="25" ht="22" customHeight="1">
      <c r="A25" s="2" t="inlineStr">
        <is>
          <t>💎  CHANNEL PERFORMANCE SUMMARY — Invest Where ROI Is Highest</t>
        </is>
      </c>
    </row>
    <row r="26" ht="26" customHeight="1">
      <c r="A26" s="15" t="inlineStr">
        <is>
          <t>Channel</t>
        </is>
      </c>
      <c r="B26" s="15" t="inlineStr">
        <is>
          <t>Leads</t>
        </is>
      </c>
      <c r="C26" s="15" t="inlineStr">
        <is>
          <t>Won</t>
        </is>
      </c>
      <c r="D26" s="15" t="inlineStr">
        <is>
          <t>Revenue (₹)</t>
        </is>
      </c>
      <c r="E26" s="15" t="inlineStr">
        <is>
          <t>Win Rate</t>
        </is>
      </c>
      <c r="F26" s="15" t="inlineStr">
        <is>
          <t>Avg Cost (₹)</t>
        </is>
      </c>
      <c r="G26" s="15" t="inlineStr">
        <is>
          <t>Verdict</t>
        </is>
      </c>
    </row>
    <row r="27" ht="26" customHeight="1">
      <c r="A27" s="252" t="inlineStr">
        <is>
          <t>Cold Call</t>
        </is>
      </c>
      <c r="B27" s="231" t="n">
        <v>5</v>
      </c>
      <c r="C27" s="231" t="n">
        <v>0</v>
      </c>
      <c r="D27" s="276" t="n">
        <v>0</v>
      </c>
      <c r="E27" s="231" t="inlineStr">
        <is>
          <t>0%</t>
        </is>
      </c>
      <c r="F27" s="276" t="n">
        <v>500</v>
      </c>
      <c r="G27" s="311" t="inlineStr">
        <is>
          <t>📞 High volume — low cost. Keep calling.</t>
        </is>
      </c>
    </row>
    <row r="28" ht="26" customHeight="1">
      <c r="A28" s="292" t="inlineStr">
        <is>
          <t>LinkedIn</t>
        </is>
      </c>
      <c r="B28" s="235" t="n">
        <v>4</v>
      </c>
      <c r="C28" s="235" t="n">
        <v>1</v>
      </c>
      <c r="D28" s="280" t="n">
        <v>16000</v>
      </c>
      <c r="E28" s="235" t="inlineStr">
        <is>
          <t>25%</t>
        </is>
      </c>
      <c r="F28" s="280" t="n">
        <v>200</v>
      </c>
      <c r="G28" s="312" t="inlineStr">
        <is>
          <t>🏆 Best paid ROI — double your outreach</t>
        </is>
      </c>
    </row>
    <row r="29" ht="26" customHeight="1">
      <c r="A29" s="257" t="inlineStr">
        <is>
          <t>Referral</t>
        </is>
      </c>
      <c r="B29" s="231" t="n">
        <v>2</v>
      </c>
      <c r="C29" s="231" t="n">
        <v>2</v>
      </c>
      <c r="D29" s="276" t="n">
        <v>24000</v>
      </c>
      <c r="E29" s="231" t="inlineStr">
        <is>
          <t>100%</t>
        </is>
      </c>
      <c r="F29" s="276" t="n">
        <v>0</v>
      </c>
      <c r="G29" s="312" t="inlineStr">
        <is>
          <t>💎 FREE + 100% win rate — build referral program NOW</t>
        </is>
      </c>
    </row>
    <row r="30" ht="26" customHeight="1">
      <c r="A30" s="257" t="inlineStr">
        <is>
          <t>WhatsApp</t>
        </is>
      </c>
      <c r="B30" s="235" t="n">
        <v>1</v>
      </c>
      <c r="C30" s="235" t="n">
        <v>1</v>
      </c>
      <c r="D30" s="280" t="n">
        <v>8000</v>
      </c>
      <c r="E30" s="235" t="inlineStr">
        <is>
          <t>100%</t>
        </is>
      </c>
      <c r="F30" s="280" t="n">
        <v>100</v>
      </c>
      <c r="G30" s="312" t="inlineStr">
        <is>
          <t>✅ Works — scale with bulk templates</t>
        </is>
      </c>
    </row>
    <row r="31" ht="26" customHeight="1">
      <c r="A31" s="313" t="inlineStr">
        <is>
          <t>Walk-in</t>
        </is>
      </c>
      <c r="B31" s="231" t="n">
        <v>1</v>
      </c>
      <c r="C31" s="231" t="n">
        <v>1</v>
      </c>
      <c r="D31" s="276" t="n">
        <v>8000</v>
      </c>
      <c r="E31" s="231" t="inlineStr">
        <is>
          <t>100%</t>
        </is>
      </c>
      <c r="F31" s="276" t="n">
        <v>0</v>
      </c>
      <c r="G31" s="312" t="inlineStr">
        <is>
          <t>✅ Hospital/Retail — run monthly walk-in drives</t>
        </is>
      </c>
    </row>
    <row r="32" ht="26" customHeight="1">
      <c r="A32" s="267" t="inlineStr">
        <is>
          <t>Email</t>
        </is>
      </c>
      <c r="B32" s="235" t="n">
        <v>1</v>
      </c>
      <c r="C32" s="235" t="n">
        <v>0</v>
      </c>
      <c r="D32" s="280" t="n">
        <v>0</v>
      </c>
      <c r="E32" s="235" t="inlineStr">
        <is>
          <t>0%</t>
        </is>
      </c>
      <c r="F32" s="280" t="n">
        <v>300</v>
      </c>
      <c r="G32" s="314" t="inlineStr">
        <is>
          <t>⚠️ 0% win — fix subject line or pause</t>
        </is>
      </c>
    </row>
    <row r="33" ht="26" customHeight="1">
      <c r="A33" s="315" t="inlineStr">
        <is>
          <t>Meta Ads</t>
        </is>
      </c>
      <c r="B33" s="231" t="n">
        <v>1</v>
      </c>
      <c r="C33" s="231" t="n">
        <v>0</v>
      </c>
      <c r="D33" s="276" t="n">
        <v>0</v>
      </c>
      <c r="E33" s="231" t="inlineStr">
        <is>
          <t>0%</t>
        </is>
      </c>
      <c r="F33" s="276" t="n">
        <v>800</v>
      </c>
      <c r="G33" s="316" t="inlineStr">
        <is>
          <t>❌ ₹800 cost, ₹0 revenue — pause immediately</t>
        </is>
      </c>
    </row>
  </sheetData>
  <autoFilter ref="A3:J18"/>
  <mergeCells count="3">
    <mergeCell ref="A1:J1"/>
    <mergeCell ref="A25:J2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2026-03-05T00:45:00Z</dcterms:created>
  <dcterms:modified xmlns:dcterms="http://purl.org/dc/terms/" xmlns:xsi="http://www.w3.org/2001/XMLSchema-instance" xsi:type="dcterms:W3CDTF">2026-03-06T01:11:18Z</dcterms:modified>
</cp:coreProperties>
</file>